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PL_2020_to_2025_Raw" sheetId="1" r:id="rId5"/>
    <sheet state="visible" name="ORANGE_CAP_HISTORY" sheetId="2" r:id="rId6"/>
    <sheet state="visible" name="PURPLE_CAP_HISTORY" sheetId="3" r:id="rId7"/>
  </sheets>
  <definedNames/>
  <calcPr/>
</workbook>
</file>

<file path=xl/sharedStrings.xml><?xml version="1.0" encoding="utf-8"?>
<sst xmlns="http://schemas.openxmlformats.org/spreadsheetml/2006/main" count="894" uniqueCount="222">
  <si>
    <t>season</t>
  </si>
  <si>
    <t>player_name</t>
  </si>
  <si>
    <t>team</t>
  </si>
  <si>
    <t>team_abbr</t>
  </si>
  <si>
    <t>role</t>
  </si>
  <si>
    <t>matches</t>
  </si>
  <si>
    <t>innings</t>
  </si>
  <si>
    <t>runs</t>
  </si>
  <si>
    <t>HS</t>
  </si>
  <si>
    <t>bat_avg</t>
  </si>
  <si>
    <t>SR</t>
  </si>
  <si>
    <t>4s</t>
  </si>
  <si>
    <t>6s</t>
  </si>
  <si>
    <t>50s</t>
  </si>
  <si>
    <t>100s</t>
  </si>
  <si>
    <t>not_outs</t>
  </si>
  <si>
    <t>wickets</t>
  </si>
  <si>
    <t>overs</t>
  </si>
  <si>
    <t>economy</t>
  </si>
  <si>
    <t>bowl_avg</t>
  </si>
  <si>
    <t>bowl_SR</t>
  </si>
  <si>
    <t>best_bowling</t>
  </si>
  <si>
    <t>catches</t>
  </si>
  <si>
    <t>nationality</t>
  </si>
  <si>
    <t>Indian/Overseas</t>
  </si>
  <si>
    <t>Highest Run Scorer</t>
  </si>
  <si>
    <t>Highest Wicket Taker</t>
  </si>
  <si>
    <t>KL Rahul</t>
  </si>
  <si>
    <t>Kings XI Punjab</t>
  </si>
  <si>
    <t>KXIP</t>
  </si>
  <si>
    <t>WK-Batsman</t>
  </si>
  <si>
    <t>132*</t>
  </si>
  <si>
    <t>0/0</t>
  </si>
  <si>
    <t>Indian</t>
  </si>
  <si>
    <t>Shikhar Dhawan</t>
  </si>
  <si>
    <t>Delhi Capitals</t>
  </si>
  <si>
    <t>DC</t>
  </si>
  <si>
    <t>Batsman</t>
  </si>
  <si>
    <t>106*</t>
  </si>
  <si>
    <t>David Warner</t>
  </si>
  <si>
    <t>Sunrisers Hyderabad</t>
  </si>
  <si>
    <t>SRH</t>
  </si>
  <si>
    <t>Australian</t>
  </si>
  <si>
    <t>Quinton de Kock</t>
  </si>
  <si>
    <t>Mumbai Indians</t>
  </si>
  <si>
    <t>MI</t>
  </si>
  <si>
    <t>South African</t>
  </si>
  <si>
    <t>Ishan Kishan</t>
  </si>
  <si>
    <t>AB de Villiers</t>
  </si>
  <si>
    <t>Royal Challengers Bengaluru</t>
  </si>
  <si>
    <t>RCB</t>
  </si>
  <si>
    <t>Mayank Agarwal</t>
  </si>
  <si>
    <t>106</t>
  </si>
  <si>
    <t>Faf du Plessis</t>
  </si>
  <si>
    <t>Chennai Super Kings</t>
  </si>
  <si>
    <t>CSK</t>
  </si>
  <si>
    <t>87*</t>
  </si>
  <si>
    <t>Rohit Sharma</t>
  </si>
  <si>
    <t>Sanju Samson</t>
  </si>
  <si>
    <t>Rajasthan Royals</t>
  </si>
  <si>
    <t>RR</t>
  </si>
  <si>
    <t>Devdutt Padikkal</t>
  </si>
  <si>
    <t>Hardik Pandya</t>
  </si>
  <si>
    <t>All-Rounder</t>
  </si>
  <si>
    <t>60*</t>
  </si>
  <si>
    <t>3/14</t>
  </si>
  <si>
    <t>Kieron Pollard</t>
  </si>
  <si>
    <t>West Indian</t>
  </si>
  <si>
    <t>Jasprit Bumrah</t>
  </si>
  <si>
    <t>Bowler</t>
  </si>
  <si>
    <t>4/14</t>
  </si>
  <si>
    <t>Kagiso Rabada</t>
  </si>
  <si>
    <t>4/24</t>
  </si>
  <si>
    <t>Trent Boult</t>
  </si>
  <si>
    <t>3/21</t>
  </si>
  <si>
    <t>New Zealand</t>
  </si>
  <si>
    <t>Anrich Nortje</t>
  </si>
  <si>
    <t>Yuzvendra Chahal</t>
  </si>
  <si>
    <t>3/18</t>
  </si>
  <si>
    <t>Rashid Khan</t>
  </si>
  <si>
    <t>2/14</t>
  </si>
  <si>
    <t>Afghan</t>
  </si>
  <si>
    <t>Mohammed Shami</t>
  </si>
  <si>
    <t>3/15</t>
  </si>
  <si>
    <t>Axar Patel</t>
  </si>
  <si>
    <t>3/22</t>
  </si>
  <si>
    <t>Suresh Raina</t>
  </si>
  <si>
    <t>N/A</t>
  </si>
  <si>
    <t>Ben Stokes</t>
  </si>
  <si>
    <t>107*</t>
  </si>
  <si>
    <t>2/20</t>
  </si>
  <si>
    <t>English</t>
  </si>
  <si>
    <t>Ruturaj Gaikwad</t>
  </si>
  <si>
    <t>101*</t>
  </si>
  <si>
    <t>Punjab Kings</t>
  </si>
  <si>
    <t>PBKS</t>
  </si>
  <si>
    <t>Glenn Maxwell</t>
  </si>
  <si>
    <t>1/14</t>
  </si>
  <si>
    <t>Suryakumar Yadav</t>
  </si>
  <si>
    <t>Rituraj Gaikwad</t>
  </si>
  <si>
    <t>Virat Kohli</t>
  </si>
  <si>
    <t>Harshal Patel</t>
  </si>
  <si>
    <t>5/27</t>
  </si>
  <si>
    <t>Avesh Khan</t>
  </si>
  <si>
    <t>4/18</t>
  </si>
  <si>
    <t>Shardul Thakur</t>
  </si>
  <si>
    <t>3/16</t>
  </si>
  <si>
    <t>Varun Chakravarthy</t>
  </si>
  <si>
    <t>Kolkata Knight Riders</t>
  </si>
  <si>
    <t>KKR</t>
  </si>
  <si>
    <t>4/27</t>
  </si>
  <si>
    <t>2/22</t>
  </si>
  <si>
    <t>Arshdeep Singh</t>
  </si>
  <si>
    <t>5/32</t>
  </si>
  <si>
    <t>Sunil Narine</t>
  </si>
  <si>
    <t>4/21</t>
  </si>
  <si>
    <t>MS Dhoni</t>
  </si>
  <si>
    <t>18*</t>
  </si>
  <si>
    <t>Venkatesh Iyer</t>
  </si>
  <si>
    <t>67</t>
  </si>
  <si>
    <t>Jos Buttler</t>
  </si>
  <si>
    <t>116</t>
  </si>
  <si>
    <t>Lucknow Super Giants</t>
  </si>
  <si>
    <t>LSG</t>
  </si>
  <si>
    <t>103*</t>
  </si>
  <si>
    <t>140*</t>
  </si>
  <si>
    <t>Gujarat Titans</t>
  </si>
  <si>
    <t>GT</t>
  </si>
  <si>
    <t>3/17</t>
  </si>
  <si>
    <t>Shubman Gill</t>
  </si>
  <si>
    <t>96*</t>
  </si>
  <si>
    <t>Shreyas Iyer</t>
  </si>
  <si>
    <t>David Miller</t>
  </si>
  <si>
    <t>94*</t>
  </si>
  <si>
    <t>Liam Livingstone</t>
  </si>
  <si>
    <t>117*</t>
  </si>
  <si>
    <t>2/28</t>
  </si>
  <si>
    <t>Dinesh Karthik</t>
  </si>
  <si>
    <t>66*</t>
  </si>
  <si>
    <t>5/40</t>
  </si>
  <si>
    <t>Wanindu Hasaranga</t>
  </si>
  <si>
    <t>4/20</t>
  </si>
  <si>
    <t>Sri Lankan</t>
  </si>
  <si>
    <t>4/33</t>
  </si>
  <si>
    <t>Umran Malik</t>
  </si>
  <si>
    <t>5/25</t>
  </si>
  <si>
    <t>Kuldeep Yadav</t>
  </si>
  <si>
    <t>4/22</t>
  </si>
  <si>
    <t>Tilak Varma</t>
  </si>
  <si>
    <t>84*</t>
  </si>
  <si>
    <t>Rajat Patidar</t>
  </si>
  <si>
    <t>112*</t>
  </si>
  <si>
    <t>129</t>
  </si>
  <si>
    <t>Devon Conway</t>
  </si>
  <si>
    <t>Yashasvi Jaiswal</t>
  </si>
  <si>
    <t>105</t>
  </si>
  <si>
    <t>Heinrich Klaasen</t>
  </si>
  <si>
    <t>104</t>
  </si>
  <si>
    <t>4/17</t>
  </si>
  <si>
    <t>Mohit Sharma</t>
  </si>
  <si>
    <t>3/19</t>
  </si>
  <si>
    <t>Piyush Chawla</t>
  </si>
  <si>
    <t>4/28</t>
  </si>
  <si>
    <t>Tushar Deshpande</t>
  </si>
  <si>
    <t>Ravindra Jadeja</t>
  </si>
  <si>
    <t>Rinku Singh</t>
  </si>
  <si>
    <t>67*</t>
  </si>
  <si>
    <t>Cameron Green</t>
  </si>
  <si>
    <t>100*</t>
  </si>
  <si>
    <t>1/22</t>
  </si>
  <si>
    <t>Harry Brook</t>
  </si>
  <si>
    <t>113*</t>
  </si>
  <si>
    <t>Riyan Parag</t>
  </si>
  <si>
    <t>Travis Head</t>
  </si>
  <si>
    <t>Abhishek Sharma</t>
  </si>
  <si>
    <t>85*</t>
  </si>
  <si>
    <t>104*</t>
  </si>
  <si>
    <t>Phil Salt</t>
  </si>
  <si>
    <t>89*</t>
  </si>
  <si>
    <t>3/28</t>
  </si>
  <si>
    <t>Mitchell Starc</t>
  </si>
  <si>
    <t>Andre Russell</t>
  </si>
  <si>
    <t>64*</t>
  </si>
  <si>
    <t>Mustafizur Rahman</t>
  </si>
  <si>
    <t>Bangladeshi</t>
  </si>
  <si>
    <t>Matheesha Pathirana</t>
  </si>
  <si>
    <t>3/32</t>
  </si>
  <si>
    <t>105*</t>
  </si>
  <si>
    <t>82*</t>
  </si>
  <si>
    <t>Sai Sudharsan</t>
  </si>
  <si>
    <t>108*</t>
  </si>
  <si>
    <t>93*</t>
  </si>
  <si>
    <t>73*</t>
  </si>
  <si>
    <t>Mitchell Marsh</t>
  </si>
  <si>
    <t>2/24</t>
  </si>
  <si>
    <t>97*</t>
  </si>
  <si>
    <t>Nicholas Pooran</t>
  </si>
  <si>
    <t>Rishabh Pant</t>
  </si>
  <si>
    <t>118*</t>
  </si>
  <si>
    <t>Prasidh Krishna</t>
  </si>
  <si>
    <t>Noor Ahmad</t>
  </si>
  <si>
    <t>3/20</t>
  </si>
  <si>
    <t>Josh Hazlewood</t>
  </si>
  <si>
    <t>3/24</t>
  </si>
  <si>
    <t>Varun Chakaravarthy</t>
  </si>
  <si>
    <t>4/26</t>
  </si>
  <si>
    <t>Vaibhav Suryavanshi</t>
  </si>
  <si>
    <t>44*</t>
  </si>
  <si>
    <t>Pat Cummins</t>
  </si>
  <si>
    <t>🟠 ORANGE CAP WINNERS &amp; 5 TOP SCORERS 2020–2025</t>
  </si>
  <si>
    <t>Season</t>
  </si>
  <si>
    <t>Rank</t>
  </si>
  <si>
    <t>Player</t>
  </si>
  <si>
    <t>Team</t>
  </si>
  <si>
    <t>Runs</t>
  </si>
  <si>
    <t>Innings</t>
  </si>
  <si>
    <t>Average</t>
  </si>
  <si>
    <t>🟣 PURPLE CAP WINNERS &amp; 5 TOP WICKET-TAKERS 2020–2025</t>
  </si>
  <si>
    <t>Wickets</t>
  </si>
  <si>
    <t>Overs</t>
  </si>
  <si>
    <t>Economy</t>
  </si>
  <si>
    <t>Best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</si>
</sst>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Verdana"/>
      <scheme val="minor"/>
    </font>
    <font>
      <b/>
      <sz val="9.0"/>
      <color rgb="FFFFFFFF"/>
      <name val="Arial"/>
    </font>
    <font>
      <sz val="9.0"/>
      <color theme="1"/>
      <name val="Arial"/>
    </font>
    <font>
      <b/>
      <sz val="9.0"/>
      <color theme="1"/>
      <name val="Arial"/>
    </font>
    <font>
      <b/>
      <sz val="14.0"/>
      <color rgb="FFFFFFFF"/>
      <name val="Arial"/>
    </font>
    <font/>
    <font>
      <b/>
      <color rgb="FFFFFFFF"/>
      <name val="Arial"/>
    </font>
    <font>
      <b/>
      <color rgb="FF000000"/>
      <name val="Arial"/>
    </font>
    <font>
      <b/>
      <color theme="1"/>
      <name val="Verdana"/>
      <scheme val="minor"/>
    </font>
    <font>
      <color rgb="FF000000"/>
      <name val="Arial"/>
    </font>
    <font>
      <color theme="1"/>
      <name val="Verdana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8B0000"/>
        <bgColor rgb="FF8B0000"/>
      </patternFill>
    </fill>
    <fill>
      <patternFill patternType="solid">
        <fgColor rgb="FFFF6B35"/>
        <bgColor rgb="FFFF6B35"/>
      </patternFill>
    </fill>
    <fill>
      <patternFill patternType="solid">
        <fgColor rgb="FFFFF3E0"/>
        <bgColor rgb="FFFFF3E0"/>
      </patternFill>
    </fill>
    <fill>
      <patternFill patternType="solid">
        <fgColor rgb="FFED1B24"/>
        <bgColor rgb="FFED1B24"/>
      </patternFill>
    </fill>
    <fill>
      <patternFill patternType="solid">
        <fgColor rgb="FF004C97"/>
        <bgColor rgb="FF004C97"/>
      </patternFill>
    </fill>
    <fill>
      <patternFill patternType="solid">
        <fgColor rgb="FFF26522"/>
        <bgColor rgb="FFF26522"/>
      </patternFill>
    </fill>
    <fill>
      <patternFill patternType="solid">
        <fgColor rgb="FF005DA0"/>
        <bgColor rgb="FF005DA0"/>
      </patternFill>
    </fill>
    <fill>
      <patternFill patternType="solid">
        <fgColor rgb="FFE8001D"/>
        <bgColor rgb="FFE8001D"/>
      </patternFill>
    </fill>
    <fill>
      <patternFill patternType="solid">
        <fgColor rgb="FFF9DC5C"/>
        <bgColor rgb="FFF9DC5C"/>
      </patternFill>
    </fill>
    <fill>
      <patternFill patternType="solid">
        <fgColor rgb="FFFF69B4"/>
        <bgColor rgb="FFFF69B4"/>
      </patternFill>
    </fill>
    <fill>
      <patternFill patternType="solid">
        <fgColor rgb="FF4ECDC4"/>
        <bgColor rgb="FF4ECDC4"/>
      </patternFill>
    </fill>
    <fill>
      <patternFill patternType="solid">
        <fgColor rgb="FFE0F7FA"/>
        <bgColor rgb="FFE0F7FA"/>
      </patternFill>
    </fill>
    <fill>
      <patternFill patternType="solid">
        <fgColor rgb="FF3A225D"/>
        <bgColor rgb="FF3A225D"/>
      </patternFill>
    </fill>
    <fill>
      <patternFill patternType="solid">
        <fgColor rgb="FF45B7D1"/>
        <bgColor rgb="FF45B7D1"/>
      </patternFill>
    </fill>
    <fill>
      <patternFill patternType="solid">
        <fgColor rgb="FFE8F5E9"/>
        <bgColor rgb="FFE8F5E9"/>
      </patternFill>
    </fill>
    <fill>
      <patternFill patternType="solid">
        <fgColor rgb="FFA72B2A"/>
        <bgColor rgb="FFA72B2A"/>
      </patternFill>
    </fill>
    <fill>
      <patternFill patternType="solid">
        <fgColor rgb="FF4B5563"/>
        <bgColor rgb="FF4B5563"/>
      </patternFill>
    </fill>
    <fill>
      <patternFill patternType="solid">
        <fgColor rgb="FF96CEB4"/>
        <bgColor rgb="FF96CEB4"/>
      </patternFill>
    </fill>
    <fill>
      <patternFill patternType="solid">
        <fgColor rgb="FFFFFDE7"/>
        <bgColor rgb="FFFFFDE7"/>
      </patternFill>
    </fill>
    <fill>
      <patternFill patternType="solid">
        <fgColor rgb="FFFFEAA7"/>
        <bgColor rgb="FFFFEAA7"/>
      </patternFill>
    </fill>
    <fill>
      <patternFill patternType="solid">
        <fgColor rgb="FFFCE4EC"/>
        <bgColor rgb="FFFCE4EC"/>
      </patternFill>
    </fill>
    <fill>
      <patternFill patternType="solid">
        <fgColor rgb="FFDDA0DD"/>
        <bgColor rgb="FFDDA0DD"/>
      </patternFill>
    </fill>
    <fill>
      <patternFill patternType="solid">
        <fgColor rgb="FFF3E5F5"/>
        <bgColor rgb="FFF3E5F5"/>
      </patternFill>
    </fill>
    <fill>
      <patternFill patternType="solid">
        <fgColor rgb="FFE26B0A"/>
        <bgColor rgb="FFE26B0A"/>
      </patternFill>
    </fill>
    <fill>
      <patternFill patternType="solid">
        <fgColor rgb="FF6D9EEB"/>
        <bgColor rgb="FF6D9EEB"/>
      </patternFill>
    </fill>
    <fill>
      <patternFill patternType="solid">
        <fgColor rgb="FF7030A0"/>
        <bgColor rgb="FF7030A0"/>
      </patternFill>
    </fill>
    <fill>
      <patternFill patternType="solid">
        <fgColor rgb="FF6FA8DC"/>
        <bgColor rgb="FF6FA8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2" fontId="1" numFmtId="0" xfId="0" applyAlignment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/>
    </xf>
    <xf borderId="1" fillId="4" fontId="2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0" fillId="4" fontId="2" numFmtId="0" xfId="0" applyAlignment="1" applyFont="1">
      <alignment horizontal="center"/>
    </xf>
    <xf borderId="1" fillId="6" fontId="1" numFmtId="0" xfId="0" applyAlignment="1" applyBorder="1" applyFill="1" applyFont="1">
      <alignment horizontal="center"/>
    </xf>
    <xf borderId="1" fillId="7" fontId="3" numFmtId="0" xfId="0" applyAlignment="1" applyBorder="1" applyFill="1" applyFont="1">
      <alignment horizontal="center"/>
    </xf>
    <xf borderId="1" fillId="8" fontId="1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 readingOrder="0"/>
    </xf>
    <xf borderId="1" fillId="9" fontId="1" numFmtId="0" xfId="0" applyAlignment="1" applyBorder="1" applyFill="1" applyFont="1">
      <alignment horizontal="center"/>
    </xf>
    <xf borderId="1" fillId="10" fontId="3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horizontal="center"/>
    </xf>
    <xf borderId="1" fillId="12" fontId="1" numFmtId="0" xfId="0" applyAlignment="1" applyBorder="1" applyFill="1" applyFont="1">
      <alignment horizontal="center"/>
    </xf>
    <xf borderId="1" fillId="13" fontId="2" numFmtId="0" xfId="0" applyAlignment="1" applyBorder="1" applyFill="1" applyFont="1">
      <alignment horizontal="center"/>
    </xf>
    <xf borderId="1" fillId="13" fontId="2" numFmtId="0" xfId="0" applyAlignment="1" applyBorder="1" applyFont="1">
      <alignment horizontal="center" readingOrder="0"/>
    </xf>
    <xf borderId="1" fillId="14" fontId="1" numFmtId="0" xfId="0" applyAlignment="1" applyBorder="1" applyFill="1" applyFont="1">
      <alignment horizontal="center"/>
    </xf>
    <xf borderId="1" fillId="15" fontId="1" numFmtId="0" xfId="0" applyAlignment="1" applyBorder="1" applyFill="1" applyFont="1">
      <alignment horizontal="center"/>
    </xf>
    <xf borderId="1" fillId="16" fontId="2" numFmtId="0" xfId="0" applyAlignment="1" applyBorder="1" applyFill="1" applyFont="1">
      <alignment horizontal="center"/>
    </xf>
    <xf borderId="1" fillId="17" fontId="1" numFmtId="0" xfId="0" applyAlignment="1" applyBorder="1" applyFill="1" applyFont="1">
      <alignment horizontal="center"/>
    </xf>
    <xf borderId="1" fillId="18" fontId="1" numFmtId="0" xfId="0" applyAlignment="1" applyBorder="1" applyFill="1" applyFont="1">
      <alignment horizontal="center"/>
    </xf>
    <xf borderId="1" fillId="16" fontId="2" numFmtId="0" xfId="0" applyAlignment="1" applyBorder="1" applyFont="1">
      <alignment horizontal="center" readingOrder="0"/>
    </xf>
    <xf borderId="1" fillId="19" fontId="1" numFmtId="0" xfId="0" applyAlignment="1" applyBorder="1" applyFill="1" applyFont="1">
      <alignment horizontal="center"/>
    </xf>
    <xf borderId="1" fillId="20" fontId="2" numFmtId="0" xfId="0" applyAlignment="1" applyBorder="1" applyFill="1" applyFont="1">
      <alignment horizontal="center"/>
    </xf>
    <xf borderId="1" fillId="20" fontId="2" numFmtId="0" xfId="0" applyAlignment="1" applyBorder="1" applyFont="1">
      <alignment horizontal="center" readingOrder="0"/>
    </xf>
    <xf borderId="1" fillId="21" fontId="1" numFmtId="0" xfId="0" applyAlignment="1" applyBorder="1" applyFill="1" applyFont="1">
      <alignment horizontal="center"/>
    </xf>
    <xf borderId="1" fillId="22" fontId="2" numFmtId="0" xfId="0" applyAlignment="1" applyBorder="1" applyFill="1" applyFont="1">
      <alignment horizontal="center"/>
    </xf>
    <xf borderId="1" fillId="23" fontId="1" numFmtId="0" xfId="0" applyAlignment="1" applyBorder="1" applyFill="1" applyFont="1">
      <alignment horizontal="center"/>
    </xf>
    <xf borderId="1" fillId="24" fontId="2" numFmtId="0" xfId="0" applyAlignment="1" applyBorder="1" applyFill="1" applyFont="1">
      <alignment horizontal="center"/>
    </xf>
    <xf borderId="2" fillId="25" fontId="4" numFmtId="0" xfId="0" applyAlignment="1" applyBorder="1" applyFill="1" applyFont="1">
      <alignment horizontal="center" readingOrder="0"/>
    </xf>
    <xf borderId="3" fillId="0" fontId="5" numFmtId="0" xfId="0" applyBorder="1" applyFont="1"/>
    <xf borderId="4" fillId="0" fontId="5" numFmtId="0" xfId="0" applyBorder="1" applyFont="1"/>
    <xf borderId="1" fillId="25" fontId="6" numFmtId="0" xfId="0" applyAlignment="1" applyBorder="1" applyFont="1">
      <alignment horizontal="center" readingOrder="0"/>
    </xf>
    <xf borderId="1" fillId="3" fontId="6" numFmtId="0" xfId="0" applyAlignment="1" applyBorder="1" applyFont="1">
      <alignment horizontal="center" readingOrder="0" shrinkToFit="0" vertical="bottom" wrapText="0"/>
    </xf>
    <xf borderId="1" fillId="26" fontId="7" numFmtId="3" xfId="0" applyAlignment="1" applyBorder="1" applyFill="1" applyFont="1" applyNumberFormat="1">
      <alignment horizontal="center" readingOrder="0" shrinkToFit="0" vertical="bottom" wrapText="0"/>
    </xf>
    <xf borderId="1" fillId="26" fontId="8" numFmtId="0" xfId="0" applyBorder="1" applyFont="1"/>
    <xf borderId="1" fillId="5" fontId="6" numFmtId="0" xfId="0" applyAlignment="1" applyBorder="1" applyFont="1">
      <alignment horizontal="center" vertical="bottom"/>
    </xf>
    <xf borderId="1" fillId="4" fontId="9" numFmtId="3" xfId="0" applyAlignment="1" applyBorder="1" applyFont="1" applyNumberFormat="1">
      <alignment horizontal="center" readingOrder="0" shrinkToFit="0" vertical="bottom" wrapText="0"/>
    </xf>
    <xf borderId="1" fillId="4" fontId="10" numFmtId="0" xfId="0" applyBorder="1" applyFont="1"/>
    <xf borderId="1" fillId="6" fontId="6" numFmtId="0" xfId="0" applyAlignment="1" applyBorder="1" applyFont="1">
      <alignment horizontal="center" vertical="bottom"/>
    </xf>
    <xf borderId="1" fillId="7" fontId="11" numFmtId="0" xfId="0" applyAlignment="1" applyBorder="1" applyFont="1">
      <alignment horizontal="center" vertical="bottom"/>
    </xf>
    <xf borderId="1" fillId="8" fontId="6" numFmtId="0" xfId="0" applyAlignment="1" applyBorder="1" applyFont="1">
      <alignment horizontal="center" vertical="bottom"/>
    </xf>
    <xf borderId="1" fillId="12" fontId="6" numFmtId="0" xfId="0" applyAlignment="1" applyBorder="1" applyFont="1">
      <alignment horizontal="center" readingOrder="0" shrinkToFit="0" vertical="bottom" wrapText="0"/>
    </xf>
    <xf borderId="1" fillId="10" fontId="11" numFmtId="0" xfId="0" applyAlignment="1" applyBorder="1" applyFont="1">
      <alignment horizontal="center" vertical="bottom"/>
    </xf>
    <xf borderId="1" fillId="13" fontId="9" numFmtId="3" xfId="0" applyAlignment="1" applyBorder="1" applyFont="1" applyNumberFormat="1">
      <alignment horizontal="center" readingOrder="0" shrinkToFit="0" vertical="bottom" wrapText="0"/>
    </xf>
    <xf borderId="1" fillId="13" fontId="10" numFmtId="0" xfId="0" applyBorder="1" applyFont="1"/>
    <xf borderId="1" fillId="9" fontId="6" numFmtId="0" xfId="0" applyAlignment="1" applyBorder="1" applyFont="1">
      <alignment horizontal="center" vertical="bottom"/>
    </xf>
    <xf borderId="1" fillId="15" fontId="6" numFmtId="0" xfId="0" applyAlignment="1" applyBorder="1" applyFont="1">
      <alignment horizontal="center" readingOrder="0" shrinkToFit="0" vertical="bottom" wrapText="0"/>
    </xf>
    <xf borderId="1" fillId="26" fontId="11" numFmtId="0" xfId="0" applyAlignment="1" applyBorder="1" applyFont="1">
      <alignment horizontal="center" vertical="bottom"/>
    </xf>
    <xf borderId="1" fillId="16" fontId="9" numFmtId="3" xfId="0" applyAlignment="1" applyBorder="1" applyFont="1" applyNumberFormat="1">
      <alignment horizontal="center" readingOrder="0" shrinkToFit="0" vertical="bottom" wrapText="0"/>
    </xf>
    <xf borderId="1" fillId="16" fontId="10" numFmtId="0" xfId="0" applyBorder="1" applyFont="1"/>
    <xf borderId="1" fillId="17" fontId="6" numFmtId="0" xfId="0" applyAlignment="1" applyBorder="1" applyFont="1">
      <alignment horizontal="center" vertical="bottom"/>
    </xf>
    <xf borderId="1" fillId="18" fontId="6" numFmtId="0" xfId="0" applyAlignment="1" applyBorder="1" applyFont="1">
      <alignment horizontal="center" vertical="bottom"/>
    </xf>
    <xf borderId="1" fillId="19" fontId="6" numFmtId="0" xfId="0" applyAlignment="1" applyBorder="1" applyFont="1">
      <alignment horizontal="center" readingOrder="0" shrinkToFit="0" vertical="bottom" wrapText="0"/>
    </xf>
    <xf borderId="1" fillId="20" fontId="9" numFmtId="3" xfId="0" applyAlignment="1" applyBorder="1" applyFont="1" applyNumberFormat="1">
      <alignment horizontal="center" readingOrder="0" shrinkToFit="0" vertical="bottom" wrapText="0"/>
    </xf>
    <xf borderId="1" fillId="20" fontId="10" numFmtId="0" xfId="0" applyBorder="1" applyFont="1"/>
    <xf borderId="1" fillId="11" fontId="11" numFmtId="0" xfId="0" applyAlignment="1" applyBorder="1" applyFont="1">
      <alignment horizontal="center" vertical="bottom"/>
    </xf>
    <xf borderId="1" fillId="21" fontId="6" numFmtId="0" xfId="0" applyAlignment="1" applyBorder="1" applyFont="1">
      <alignment horizontal="center" readingOrder="0" shrinkToFit="0" vertical="bottom" wrapText="0"/>
    </xf>
    <xf borderId="1" fillId="22" fontId="9" numFmtId="3" xfId="0" applyAlignment="1" applyBorder="1" applyFont="1" applyNumberFormat="1">
      <alignment horizontal="center" readingOrder="0" shrinkToFit="0" vertical="bottom" wrapText="0"/>
    </xf>
    <xf borderId="1" fillId="22" fontId="10" numFmtId="0" xfId="0" applyBorder="1" applyFont="1"/>
    <xf borderId="1" fillId="23" fontId="6" numFmtId="0" xfId="0" applyAlignment="1" applyBorder="1" applyFont="1">
      <alignment horizontal="center" readingOrder="0" shrinkToFit="0" vertical="bottom" wrapText="0"/>
    </xf>
    <xf borderId="1" fillId="24" fontId="9" numFmtId="3" xfId="0" applyAlignment="1" applyBorder="1" applyFont="1" applyNumberFormat="1">
      <alignment horizontal="center" readingOrder="0" shrinkToFit="0" vertical="bottom" wrapText="0"/>
    </xf>
    <xf borderId="1" fillId="24" fontId="10" numFmtId="0" xfId="0" applyBorder="1" applyFont="1"/>
    <xf borderId="2" fillId="27" fontId="4" numFmtId="0" xfId="0" applyAlignment="1" applyBorder="1" applyFill="1" applyFont="1">
      <alignment horizontal="center" readingOrder="0"/>
    </xf>
    <xf borderId="1" fillId="27" fontId="6" numFmtId="0" xfId="0" applyAlignment="1" applyBorder="1" applyFont="1">
      <alignment horizontal="center" shrinkToFit="0" wrapText="1"/>
    </xf>
    <xf borderId="1" fillId="27" fontId="6" numFmtId="3" xfId="0" applyAlignment="1" applyBorder="1" applyFont="1" applyNumberFormat="1">
      <alignment horizontal="center" shrinkToFit="0" wrapText="1"/>
    </xf>
    <xf borderId="1" fillId="28" fontId="6" numFmtId="0" xfId="0" applyAlignment="1" applyBorder="1" applyFill="1" applyFont="1">
      <alignment horizontal="center" vertical="bottom"/>
    </xf>
    <xf borderId="1" fillId="28" fontId="11" numFmtId="3" xfId="0" applyAlignment="1" applyBorder="1" applyFont="1" applyNumberFormat="1">
      <alignment horizontal="center" vertical="bottom"/>
    </xf>
    <xf borderId="1" fillId="28" fontId="11" numFmtId="0" xfId="0" applyAlignment="1" applyBorder="1" applyFont="1">
      <alignment horizontal="center" vertical="bottom"/>
    </xf>
    <xf borderId="1" fillId="28" fontId="8" numFmtId="0" xfId="0" applyAlignment="1" applyBorder="1" applyFont="1">
      <alignment horizontal="center"/>
    </xf>
    <xf borderId="1" fillId="3" fontId="6" numFmtId="0" xfId="0" applyAlignment="1" applyBorder="1" applyFont="1">
      <alignment horizontal="center" vertical="bottom"/>
    </xf>
    <xf borderId="1" fillId="4" fontId="12" numFmtId="3" xfId="0" applyAlignment="1" applyBorder="1" applyFont="1" applyNumberFormat="1">
      <alignment horizontal="center" vertical="bottom"/>
    </xf>
    <xf borderId="1" fillId="4" fontId="12" numFmtId="0" xfId="0" applyAlignment="1" applyBorder="1" applyFont="1">
      <alignment horizontal="center" vertical="bottom"/>
    </xf>
    <xf borderId="1" fillId="4" fontId="10" numFmtId="0" xfId="0" applyAlignment="1" applyBorder="1" applyFont="1">
      <alignment horizontal="center"/>
    </xf>
    <xf borderId="1" fillId="12" fontId="6" numFmtId="0" xfId="0" applyAlignment="1" applyBorder="1" applyFont="1">
      <alignment horizontal="center" vertical="bottom"/>
    </xf>
    <xf borderId="1" fillId="28" fontId="8" numFmtId="3" xfId="0" applyAlignment="1" applyBorder="1" applyFont="1" applyNumberFormat="1">
      <alignment horizontal="center" readingOrder="0"/>
    </xf>
    <xf borderId="1" fillId="28" fontId="13" numFmtId="0" xfId="0" applyAlignment="1" applyBorder="1" applyFont="1">
      <alignment horizontal="center"/>
    </xf>
    <xf borderId="1" fillId="13" fontId="10" numFmtId="3" xfId="0" applyAlignment="1" applyBorder="1" applyFont="1" applyNumberFormat="1">
      <alignment horizontal="center" readingOrder="0"/>
    </xf>
    <xf borderId="1" fillId="13" fontId="10" numFmtId="0" xfId="0" applyAlignment="1" applyBorder="1" applyFont="1">
      <alignment horizontal="center"/>
    </xf>
    <xf borderId="1" fillId="14" fontId="6" numFmtId="0" xfId="0" applyAlignment="1" applyBorder="1" applyFont="1">
      <alignment horizontal="center" vertical="bottom"/>
    </xf>
    <xf borderId="1" fillId="15" fontId="6" numFmtId="0" xfId="0" applyAlignment="1" applyBorder="1" applyFont="1">
      <alignment horizontal="center" vertical="bottom"/>
    </xf>
    <xf borderId="1" fillId="16" fontId="10" numFmtId="3" xfId="0" applyAlignment="1" applyBorder="1" applyFont="1" applyNumberFormat="1">
      <alignment horizontal="center" readingOrder="0"/>
    </xf>
    <xf borderId="1" fillId="16" fontId="10" numFmtId="0" xfId="0" applyAlignment="1" applyBorder="1" applyFont="1">
      <alignment horizontal="center"/>
    </xf>
    <xf borderId="1" fillId="19" fontId="6" numFmtId="0" xfId="0" applyAlignment="1" applyBorder="1" applyFont="1">
      <alignment horizontal="center" vertical="bottom"/>
    </xf>
    <xf borderId="1" fillId="20" fontId="10" numFmtId="3" xfId="0" applyAlignment="1" applyBorder="1" applyFont="1" applyNumberFormat="1">
      <alignment horizontal="center" readingOrder="0"/>
    </xf>
    <xf borderId="1" fillId="20" fontId="10" numFmtId="0" xfId="0" applyAlignment="1" applyBorder="1" applyFont="1">
      <alignment horizontal="center"/>
    </xf>
    <xf borderId="1" fillId="21" fontId="6" numFmtId="0" xfId="0" applyAlignment="1" applyBorder="1" applyFont="1">
      <alignment horizontal="center" vertical="bottom"/>
    </xf>
    <xf borderId="1" fillId="22" fontId="10" numFmtId="3" xfId="0" applyAlignment="1" applyBorder="1" applyFont="1" applyNumberFormat="1">
      <alignment horizontal="center" readingOrder="0"/>
    </xf>
    <xf borderId="1" fillId="22" fontId="10" numFmtId="0" xfId="0" applyAlignment="1" applyBorder="1" applyFont="1">
      <alignment horizontal="center"/>
    </xf>
    <xf borderId="1" fillId="23" fontId="6" numFmtId="0" xfId="0" applyAlignment="1" applyBorder="1" applyFont="1">
      <alignment horizontal="center" vertical="bottom"/>
    </xf>
    <xf borderId="1" fillId="24" fontId="10" numFmtId="3" xfId="0" applyAlignment="1" applyBorder="1" applyFont="1" applyNumberFormat="1">
      <alignment horizontal="center" readingOrder="0"/>
    </xf>
    <xf borderId="1" fillId="24" fontId="14" numFmtId="0" xfId="0" applyAlignment="1" applyBorder="1" applyFont="1">
      <alignment horizontal="center"/>
    </xf>
    <xf borderId="1" fillId="24" fontId="10" numFmtId="0" xfId="0" applyAlignment="1" applyBorder="1" applyFont="1">
      <alignment horizontal="center"/>
    </xf>
    <xf borderId="0" fillId="0" fontId="10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5975"/>
      </a:dk1>
      <a:lt1>
        <a:srgbClr val="F5FCFF"/>
      </a:lt1>
      <a:dk2>
        <a:srgbClr val="005975"/>
      </a:dk2>
      <a:lt2>
        <a:srgbClr val="F5FCFF"/>
      </a:lt2>
      <a:accent1>
        <a:srgbClr val="0078B8"/>
      </a:accent1>
      <a:accent2>
        <a:srgbClr val="0091DE"/>
      </a:accent2>
      <a:accent3>
        <a:srgbClr val="00A3FA"/>
      </a:accent3>
      <a:accent4>
        <a:srgbClr val="42BDFF"/>
      </a:accent4>
      <a:accent5>
        <a:srgbClr val="6ECCFF"/>
      </a:accent5>
      <a:accent6>
        <a:srgbClr val="8FE1FF"/>
      </a:accent6>
      <a:hlink>
        <a:srgbClr val="0091DE"/>
      </a:hlink>
      <a:folHlink>
        <a:srgbClr val="0091DE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75"/>
  <cols>
    <col customWidth="1" min="2" max="2" width="13.56"/>
    <col customWidth="1" min="3" max="3" width="18.22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2" t="s">
        <v>25</v>
      </c>
      <c r="AA1" s="2" t="s">
        <v>26</v>
      </c>
    </row>
    <row r="2">
      <c r="A2" s="3">
        <v>2020.0</v>
      </c>
      <c r="B2" s="4" t="s">
        <v>27</v>
      </c>
      <c r="C2" s="4" t="s">
        <v>28</v>
      </c>
      <c r="D2" s="5" t="s">
        <v>29</v>
      </c>
      <c r="E2" s="4" t="s">
        <v>30</v>
      </c>
      <c r="F2" s="4">
        <v>14.0</v>
      </c>
      <c r="G2" s="4">
        <v>14.0</v>
      </c>
      <c r="H2" s="4">
        <v>670.0</v>
      </c>
      <c r="I2" s="4" t="s">
        <v>31</v>
      </c>
      <c r="J2" s="4">
        <v>55.83</v>
      </c>
      <c r="K2" s="4">
        <v>129.34</v>
      </c>
      <c r="L2" s="4">
        <v>66.0</v>
      </c>
      <c r="M2" s="4">
        <v>23.0</v>
      </c>
      <c r="N2" s="4">
        <v>5.0</v>
      </c>
      <c r="O2" s="4">
        <v>1.0</v>
      </c>
      <c r="P2" s="4">
        <v>2.0</v>
      </c>
      <c r="Q2" s="4">
        <v>0.0</v>
      </c>
      <c r="R2" s="4">
        <v>0.0</v>
      </c>
      <c r="S2" s="4">
        <v>0.0</v>
      </c>
      <c r="T2" s="4">
        <v>0.0</v>
      </c>
      <c r="U2" s="4">
        <v>0.0</v>
      </c>
      <c r="V2" s="4" t="s">
        <v>32</v>
      </c>
      <c r="W2" s="4">
        <v>7.0</v>
      </c>
      <c r="X2" s="4" t="s">
        <v>33</v>
      </c>
      <c r="Y2" s="6" t="str">
        <f t="shared" ref="Y2:Y133" si="1">IF(X2="Indian","Indian","Overseas")</f>
        <v>Indian</v>
      </c>
      <c r="Z2" s="6"/>
      <c r="AA2" s="6"/>
    </row>
    <row r="3">
      <c r="A3" s="3">
        <v>2020.0</v>
      </c>
      <c r="B3" s="4" t="s">
        <v>34</v>
      </c>
      <c r="C3" s="4" t="s">
        <v>35</v>
      </c>
      <c r="D3" s="7" t="s">
        <v>36</v>
      </c>
      <c r="E3" s="4" t="s">
        <v>37</v>
      </c>
      <c r="F3" s="4">
        <v>16.0</v>
      </c>
      <c r="G3" s="4">
        <v>16.0</v>
      </c>
      <c r="H3" s="4">
        <v>618.0</v>
      </c>
      <c r="I3" s="4" t="s">
        <v>38</v>
      </c>
      <c r="J3" s="4">
        <v>44.14</v>
      </c>
      <c r="K3" s="4">
        <v>145.07</v>
      </c>
      <c r="L3" s="4">
        <v>68.0</v>
      </c>
      <c r="M3" s="4">
        <v>15.0</v>
      </c>
      <c r="N3" s="4">
        <v>8.0</v>
      </c>
      <c r="O3" s="4">
        <v>2.0</v>
      </c>
      <c r="P3" s="4">
        <v>2.0</v>
      </c>
      <c r="Q3" s="4">
        <v>0.0</v>
      </c>
      <c r="R3" s="4">
        <v>0.0</v>
      </c>
      <c r="S3" s="4">
        <v>0.0</v>
      </c>
      <c r="T3" s="4">
        <v>0.0</v>
      </c>
      <c r="U3" s="4">
        <v>0.0</v>
      </c>
      <c r="V3" s="4" t="s">
        <v>32</v>
      </c>
      <c r="W3" s="4">
        <v>10.0</v>
      </c>
      <c r="X3" s="4" t="s">
        <v>33</v>
      </c>
      <c r="Y3" s="6" t="str">
        <f t="shared" si="1"/>
        <v>Indian</v>
      </c>
      <c r="Z3" s="6"/>
      <c r="AA3" s="6"/>
    </row>
    <row r="4">
      <c r="A4" s="3">
        <v>2020.0</v>
      </c>
      <c r="B4" s="4" t="s">
        <v>39</v>
      </c>
      <c r="C4" s="4" t="s">
        <v>40</v>
      </c>
      <c r="D4" s="8" t="s">
        <v>41</v>
      </c>
      <c r="E4" s="4" t="s">
        <v>37</v>
      </c>
      <c r="F4" s="4">
        <v>16.0</v>
      </c>
      <c r="G4" s="4">
        <v>16.0</v>
      </c>
      <c r="H4" s="4">
        <v>548.0</v>
      </c>
      <c r="I4" s="4">
        <v>85.0</v>
      </c>
      <c r="J4" s="4">
        <v>34.25</v>
      </c>
      <c r="K4" s="4">
        <v>134.97</v>
      </c>
      <c r="L4" s="4">
        <v>55.0</v>
      </c>
      <c r="M4" s="4">
        <v>21.0</v>
      </c>
      <c r="N4" s="4">
        <v>4.0</v>
      </c>
      <c r="O4" s="4">
        <v>0.0</v>
      </c>
      <c r="P4" s="4">
        <v>0.0</v>
      </c>
      <c r="Q4" s="4">
        <v>0.0</v>
      </c>
      <c r="R4" s="4">
        <v>0.0</v>
      </c>
      <c r="S4" s="4">
        <v>0.0</v>
      </c>
      <c r="T4" s="4">
        <v>0.0</v>
      </c>
      <c r="U4" s="4">
        <v>0.0</v>
      </c>
      <c r="V4" s="4" t="s">
        <v>32</v>
      </c>
      <c r="W4" s="4">
        <v>11.0</v>
      </c>
      <c r="X4" s="4" t="s">
        <v>42</v>
      </c>
      <c r="Y4" s="6" t="str">
        <f t="shared" si="1"/>
        <v>Overseas</v>
      </c>
      <c r="Z4" s="6"/>
      <c r="AA4" s="6"/>
    </row>
    <row r="5">
      <c r="A5" s="3">
        <v>2020.0</v>
      </c>
      <c r="B5" s="4" t="s">
        <v>43</v>
      </c>
      <c r="C5" s="4" t="s">
        <v>44</v>
      </c>
      <c r="D5" s="9" t="s">
        <v>45</v>
      </c>
      <c r="E5" s="4" t="s">
        <v>30</v>
      </c>
      <c r="F5" s="4">
        <v>16.0</v>
      </c>
      <c r="G5" s="4">
        <v>16.0</v>
      </c>
      <c r="H5" s="4">
        <v>503.0</v>
      </c>
      <c r="I5" s="4">
        <v>78.0</v>
      </c>
      <c r="J5" s="4">
        <v>33.53</v>
      </c>
      <c r="K5" s="4">
        <v>140.5</v>
      </c>
      <c r="L5" s="4">
        <v>54.0</v>
      </c>
      <c r="M5" s="4">
        <v>18.0</v>
      </c>
      <c r="N5" s="4">
        <v>3.0</v>
      </c>
      <c r="O5" s="4">
        <v>0.0</v>
      </c>
      <c r="P5" s="4">
        <v>1.0</v>
      </c>
      <c r="Q5" s="4">
        <v>0.0</v>
      </c>
      <c r="R5" s="4">
        <v>0.0</v>
      </c>
      <c r="S5" s="4">
        <v>0.0</v>
      </c>
      <c r="T5" s="4">
        <v>0.0</v>
      </c>
      <c r="U5" s="4">
        <v>0.0</v>
      </c>
      <c r="V5" s="4" t="s">
        <v>32</v>
      </c>
      <c r="W5" s="4">
        <v>9.0</v>
      </c>
      <c r="X5" s="4" t="s">
        <v>46</v>
      </c>
      <c r="Y5" s="6" t="str">
        <f t="shared" si="1"/>
        <v>Overseas</v>
      </c>
      <c r="Z5" s="6"/>
      <c r="AA5" s="6"/>
    </row>
    <row r="6">
      <c r="A6" s="3">
        <v>2020.0</v>
      </c>
      <c r="B6" s="4" t="s">
        <v>47</v>
      </c>
      <c r="C6" s="4" t="s">
        <v>44</v>
      </c>
      <c r="D6" s="9" t="s">
        <v>45</v>
      </c>
      <c r="E6" s="4" t="s">
        <v>30</v>
      </c>
      <c r="F6" s="4">
        <v>14.0</v>
      </c>
      <c r="G6" s="4">
        <v>14.0</v>
      </c>
      <c r="H6" s="4">
        <v>516.0</v>
      </c>
      <c r="I6" s="4">
        <v>99.0</v>
      </c>
      <c r="J6" s="4">
        <v>43.0</v>
      </c>
      <c r="K6" s="4">
        <v>145.76</v>
      </c>
      <c r="L6" s="4">
        <v>44.0</v>
      </c>
      <c r="M6" s="4">
        <v>28.0</v>
      </c>
      <c r="N6" s="4">
        <v>3.0</v>
      </c>
      <c r="O6" s="4">
        <v>0.0</v>
      </c>
      <c r="P6" s="4">
        <v>2.0</v>
      </c>
      <c r="Q6" s="4">
        <v>0.0</v>
      </c>
      <c r="R6" s="4">
        <v>0.0</v>
      </c>
      <c r="S6" s="4">
        <v>0.0</v>
      </c>
      <c r="T6" s="4">
        <v>0.0</v>
      </c>
      <c r="U6" s="4">
        <v>0.0</v>
      </c>
      <c r="V6" s="4" t="s">
        <v>32</v>
      </c>
      <c r="W6" s="4">
        <v>7.0</v>
      </c>
      <c r="X6" s="4" t="s">
        <v>33</v>
      </c>
      <c r="Y6" s="6" t="str">
        <f t="shared" si="1"/>
        <v>Indian</v>
      </c>
      <c r="Z6" s="6"/>
      <c r="AA6" s="6"/>
    </row>
    <row r="7">
      <c r="A7" s="3">
        <v>2020.0</v>
      </c>
      <c r="B7" s="4" t="s">
        <v>48</v>
      </c>
      <c r="C7" s="10" t="s">
        <v>49</v>
      </c>
      <c r="D7" s="11" t="s">
        <v>50</v>
      </c>
      <c r="E7" s="4" t="s">
        <v>30</v>
      </c>
      <c r="F7" s="4">
        <v>15.0</v>
      </c>
      <c r="G7" s="4">
        <v>13.0</v>
      </c>
      <c r="H7" s="4">
        <v>454.0</v>
      </c>
      <c r="I7" s="4">
        <v>73.0</v>
      </c>
      <c r="J7" s="4">
        <v>56.75</v>
      </c>
      <c r="K7" s="4">
        <v>158.74</v>
      </c>
      <c r="L7" s="4">
        <v>33.0</v>
      </c>
      <c r="M7" s="4">
        <v>34.0</v>
      </c>
      <c r="N7" s="4">
        <v>4.0</v>
      </c>
      <c r="O7" s="4">
        <v>0.0</v>
      </c>
      <c r="P7" s="4">
        <v>6.0</v>
      </c>
      <c r="Q7" s="4">
        <v>0.0</v>
      </c>
      <c r="R7" s="4">
        <v>0.0</v>
      </c>
      <c r="S7" s="4">
        <v>0.0</v>
      </c>
      <c r="T7" s="4">
        <v>0.0</v>
      </c>
      <c r="U7" s="4">
        <v>0.0</v>
      </c>
      <c r="V7" s="4" t="s">
        <v>32</v>
      </c>
      <c r="W7" s="4">
        <v>9.0</v>
      </c>
      <c r="X7" s="4" t="s">
        <v>46</v>
      </c>
      <c r="Y7" s="6" t="str">
        <f t="shared" si="1"/>
        <v>Overseas</v>
      </c>
      <c r="Z7" s="6"/>
      <c r="AA7" s="6"/>
    </row>
    <row r="8">
      <c r="A8" s="3">
        <v>2020.0</v>
      </c>
      <c r="B8" s="4" t="s">
        <v>51</v>
      </c>
      <c r="C8" s="4" t="s">
        <v>28</v>
      </c>
      <c r="D8" s="5" t="s">
        <v>29</v>
      </c>
      <c r="E8" s="4" t="s">
        <v>37</v>
      </c>
      <c r="F8" s="4">
        <v>14.0</v>
      </c>
      <c r="G8" s="4">
        <v>14.0</v>
      </c>
      <c r="H8" s="4">
        <v>424.0</v>
      </c>
      <c r="I8" s="4" t="s">
        <v>52</v>
      </c>
      <c r="J8" s="4">
        <v>34.28</v>
      </c>
      <c r="K8" s="4">
        <v>158.8</v>
      </c>
      <c r="L8" s="4">
        <v>38.0</v>
      </c>
      <c r="M8" s="4">
        <v>26.0</v>
      </c>
      <c r="N8" s="4">
        <v>3.0</v>
      </c>
      <c r="O8" s="4">
        <v>1.0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 t="s">
        <v>32</v>
      </c>
      <c r="W8" s="4">
        <v>6.0</v>
      </c>
      <c r="X8" s="4" t="s">
        <v>33</v>
      </c>
      <c r="Y8" s="6" t="str">
        <f t="shared" si="1"/>
        <v>Indian</v>
      </c>
      <c r="Z8" s="6"/>
      <c r="AA8" s="6"/>
    </row>
    <row r="9">
      <c r="A9" s="3">
        <v>2020.0</v>
      </c>
      <c r="B9" s="4" t="s">
        <v>53</v>
      </c>
      <c r="C9" s="4" t="s">
        <v>54</v>
      </c>
      <c r="D9" s="12" t="s">
        <v>55</v>
      </c>
      <c r="E9" s="4" t="s">
        <v>37</v>
      </c>
      <c r="F9" s="4">
        <v>13.0</v>
      </c>
      <c r="G9" s="4">
        <v>13.0</v>
      </c>
      <c r="H9" s="4">
        <v>449.0</v>
      </c>
      <c r="I9" s="4" t="s">
        <v>56</v>
      </c>
      <c r="J9" s="4">
        <v>41.0</v>
      </c>
      <c r="K9" s="4">
        <v>140.94</v>
      </c>
      <c r="L9" s="4">
        <v>40.0</v>
      </c>
      <c r="M9" s="4">
        <v>16.0</v>
      </c>
      <c r="N9" s="4">
        <v>5.0</v>
      </c>
      <c r="O9" s="4">
        <v>0.0</v>
      </c>
      <c r="P9" s="4">
        <v>3.0</v>
      </c>
      <c r="Q9" s="4">
        <v>0.0</v>
      </c>
      <c r="R9" s="4">
        <v>0.0</v>
      </c>
      <c r="S9" s="4">
        <v>0.0</v>
      </c>
      <c r="T9" s="4">
        <v>0.0</v>
      </c>
      <c r="U9" s="4">
        <v>0.0</v>
      </c>
      <c r="V9" s="4" t="s">
        <v>32</v>
      </c>
      <c r="W9" s="4">
        <v>8.0</v>
      </c>
      <c r="X9" s="4" t="s">
        <v>46</v>
      </c>
      <c r="Y9" s="6" t="str">
        <f t="shared" si="1"/>
        <v>Overseas</v>
      </c>
      <c r="Z9" s="6"/>
      <c r="AA9" s="6"/>
    </row>
    <row r="10">
      <c r="A10" s="3">
        <v>2020.0</v>
      </c>
      <c r="B10" s="4" t="s">
        <v>57</v>
      </c>
      <c r="C10" s="4" t="s">
        <v>44</v>
      </c>
      <c r="D10" s="9" t="s">
        <v>45</v>
      </c>
      <c r="E10" s="4" t="s">
        <v>37</v>
      </c>
      <c r="F10" s="4">
        <v>12.0</v>
      </c>
      <c r="G10" s="4">
        <v>11.0</v>
      </c>
      <c r="H10" s="4">
        <v>332.0</v>
      </c>
      <c r="I10" s="4">
        <v>80.0</v>
      </c>
      <c r="J10" s="4">
        <v>36.89</v>
      </c>
      <c r="K10" s="4">
        <v>137.19</v>
      </c>
      <c r="L10" s="4">
        <v>31.0</v>
      </c>
      <c r="M10" s="4">
        <v>12.0</v>
      </c>
      <c r="N10" s="4">
        <v>2.0</v>
      </c>
      <c r="O10" s="4">
        <v>0.0</v>
      </c>
      <c r="P10" s="4">
        <v>1.0</v>
      </c>
      <c r="Q10" s="4">
        <v>0.0</v>
      </c>
      <c r="R10" s="4">
        <v>0.0</v>
      </c>
      <c r="S10" s="4">
        <v>0.0</v>
      </c>
      <c r="T10" s="4">
        <v>0.0</v>
      </c>
      <c r="U10" s="4">
        <v>0.0</v>
      </c>
      <c r="V10" s="4" t="s">
        <v>32</v>
      </c>
      <c r="W10" s="4">
        <v>5.0</v>
      </c>
      <c r="X10" s="4" t="s">
        <v>33</v>
      </c>
      <c r="Y10" s="6" t="str">
        <f t="shared" si="1"/>
        <v>Indian</v>
      </c>
      <c r="Z10" s="6"/>
      <c r="AA10" s="6"/>
    </row>
    <row r="11">
      <c r="A11" s="3">
        <v>2020.0</v>
      </c>
      <c r="B11" s="4" t="s">
        <v>58</v>
      </c>
      <c r="C11" s="4" t="s">
        <v>59</v>
      </c>
      <c r="D11" s="13" t="s">
        <v>60</v>
      </c>
      <c r="E11" s="4" t="s">
        <v>30</v>
      </c>
      <c r="F11" s="4">
        <v>14.0</v>
      </c>
      <c r="G11" s="4">
        <v>14.0</v>
      </c>
      <c r="H11" s="4">
        <v>375.0</v>
      </c>
      <c r="I11" s="4">
        <v>85.0</v>
      </c>
      <c r="J11" s="4">
        <v>28.84</v>
      </c>
      <c r="K11" s="4">
        <v>147.64</v>
      </c>
      <c r="L11" s="4">
        <v>36.0</v>
      </c>
      <c r="M11" s="4">
        <v>18.0</v>
      </c>
      <c r="N11" s="4">
        <v>3.0</v>
      </c>
      <c r="O11" s="4">
        <v>0.0</v>
      </c>
      <c r="P11" s="4">
        <v>1.0</v>
      </c>
      <c r="Q11" s="4">
        <v>0.0</v>
      </c>
      <c r="R11" s="4">
        <v>0.0</v>
      </c>
      <c r="S11" s="4">
        <v>0.0</v>
      </c>
      <c r="T11" s="4">
        <v>0.0</v>
      </c>
      <c r="U11" s="4">
        <v>0.0</v>
      </c>
      <c r="V11" s="4" t="s">
        <v>32</v>
      </c>
      <c r="W11" s="4">
        <v>8.0</v>
      </c>
      <c r="X11" s="4" t="s">
        <v>33</v>
      </c>
      <c r="Y11" s="6" t="str">
        <f t="shared" si="1"/>
        <v>Indian</v>
      </c>
      <c r="Z11" s="6"/>
      <c r="AA11" s="6"/>
    </row>
    <row r="12">
      <c r="A12" s="3">
        <v>2020.0</v>
      </c>
      <c r="B12" s="4" t="s">
        <v>61</v>
      </c>
      <c r="C12" s="10" t="s">
        <v>49</v>
      </c>
      <c r="D12" s="11" t="s">
        <v>50</v>
      </c>
      <c r="E12" s="4" t="s">
        <v>37</v>
      </c>
      <c r="F12" s="4">
        <v>15.0</v>
      </c>
      <c r="G12" s="4">
        <v>15.0</v>
      </c>
      <c r="H12" s="4">
        <v>473.0</v>
      </c>
      <c r="I12" s="4">
        <v>74.0</v>
      </c>
      <c r="J12" s="4">
        <v>31.53</v>
      </c>
      <c r="K12" s="4">
        <v>124.8</v>
      </c>
      <c r="L12" s="4">
        <v>48.0</v>
      </c>
      <c r="M12" s="4">
        <v>12.0</v>
      </c>
      <c r="N12" s="4">
        <v>3.0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 t="s">
        <v>32</v>
      </c>
      <c r="W12" s="4">
        <v>9.0</v>
      </c>
      <c r="X12" s="4" t="s">
        <v>33</v>
      </c>
      <c r="Y12" s="6" t="str">
        <f t="shared" si="1"/>
        <v>Indian</v>
      </c>
      <c r="Z12" s="6"/>
      <c r="AA12" s="6"/>
    </row>
    <row r="13">
      <c r="A13" s="3">
        <v>2020.0</v>
      </c>
      <c r="B13" s="4" t="s">
        <v>62</v>
      </c>
      <c r="C13" s="4" t="s">
        <v>44</v>
      </c>
      <c r="D13" s="9" t="s">
        <v>45</v>
      </c>
      <c r="E13" s="4" t="s">
        <v>63</v>
      </c>
      <c r="F13" s="4">
        <v>15.0</v>
      </c>
      <c r="G13" s="4">
        <v>11.0</v>
      </c>
      <c r="H13" s="4">
        <v>281.0</v>
      </c>
      <c r="I13" s="4" t="s">
        <v>64</v>
      </c>
      <c r="J13" s="4">
        <v>35.12</v>
      </c>
      <c r="K13" s="4">
        <v>178.34</v>
      </c>
      <c r="L13" s="4">
        <v>20.0</v>
      </c>
      <c r="M13" s="4">
        <v>22.0</v>
      </c>
      <c r="N13" s="4">
        <v>1.0</v>
      </c>
      <c r="O13" s="4">
        <v>0.0</v>
      </c>
      <c r="P13" s="4">
        <v>5.0</v>
      </c>
      <c r="Q13" s="4">
        <v>17.0</v>
      </c>
      <c r="R13" s="4">
        <v>38.0</v>
      </c>
      <c r="S13" s="4">
        <v>9.12</v>
      </c>
      <c r="T13" s="4">
        <v>28.47</v>
      </c>
      <c r="U13" s="4">
        <v>19.41</v>
      </c>
      <c r="V13" s="4" t="s">
        <v>65</v>
      </c>
      <c r="W13" s="4">
        <v>7.0</v>
      </c>
      <c r="X13" s="4" t="s">
        <v>33</v>
      </c>
      <c r="Y13" s="6" t="str">
        <f t="shared" si="1"/>
        <v>Indian</v>
      </c>
      <c r="Z13" s="6"/>
      <c r="AA13" s="6"/>
    </row>
    <row r="14">
      <c r="A14" s="3">
        <v>2020.0</v>
      </c>
      <c r="B14" s="4" t="s">
        <v>66</v>
      </c>
      <c r="C14" s="4" t="s">
        <v>44</v>
      </c>
      <c r="D14" s="9" t="s">
        <v>45</v>
      </c>
      <c r="E14" s="4" t="s">
        <v>63</v>
      </c>
      <c r="F14" s="4">
        <v>16.0</v>
      </c>
      <c r="G14" s="4">
        <v>14.0</v>
      </c>
      <c r="H14" s="4">
        <v>268.0</v>
      </c>
      <c r="I14" s="4" t="s">
        <v>64</v>
      </c>
      <c r="J14" s="4">
        <v>29.78</v>
      </c>
      <c r="K14" s="4">
        <v>191.43</v>
      </c>
      <c r="L14" s="4">
        <v>13.0</v>
      </c>
      <c r="M14" s="4">
        <v>28.0</v>
      </c>
      <c r="N14" s="4">
        <v>0.0</v>
      </c>
      <c r="O14" s="4">
        <v>0.0</v>
      </c>
      <c r="P14" s="4">
        <v>8.0</v>
      </c>
      <c r="Q14" s="4">
        <v>0.0</v>
      </c>
      <c r="R14" s="4">
        <v>4.0</v>
      </c>
      <c r="S14" s="4">
        <v>8.75</v>
      </c>
      <c r="T14" s="4">
        <v>0.0</v>
      </c>
      <c r="U14" s="4">
        <v>0.0</v>
      </c>
      <c r="V14" s="4" t="s">
        <v>32</v>
      </c>
      <c r="W14" s="4">
        <v>7.0</v>
      </c>
      <c r="X14" s="4" t="s">
        <v>67</v>
      </c>
      <c r="Y14" s="6" t="str">
        <f t="shared" si="1"/>
        <v>Overseas</v>
      </c>
      <c r="Z14" s="6"/>
      <c r="AA14" s="6"/>
    </row>
    <row r="15">
      <c r="A15" s="3">
        <v>2020.0</v>
      </c>
      <c r="B15" s="4" t="s">
        <v>68</v>
      </c>
      <c r="C15" s="4" t="s">
        <v>44</v>
      </c>
      <c r="D15" s="9" t="s">
        <v>45</v>
      </c>
      <c r="E15" s="4" t="s">
        <v>69</v>
      </c>
      <c r="F15" s="4">
        <v>15.0</v>
      </c>
      <c r="G15" s="4">
        <v>2.0</v>
      </c>
      <c r="H15" s="4">
        <v>4.0</v>
      </c>
      <c r="I15" s="4">
        <v>3.0</v>
      </c>
      <c r="J15" s="4">
        <v>2.0</v>
      </c>
      <c r="K15" s="4">
        <v>80.0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27.0</v>
      </c>
      <c r="R15" s="4">
        <v>58.1</v>
      </c>
      <c r="S15" s="4">
        <v>6.73</v>
      </c>
      <c r="T15" s="4">
        <v>14.59</v>
      </c>
      <c r="U15" s="4">
        <v>12.93</v>
      </c>
      <c r="V15" s="4" t="s">
        <v>70</v>
      </c>
      <c r="W15" s="4">
        <v>5.0</v>
      </c>
      <c r="X15" s="4" t="s">
        <v>33</v>
      </c>
      <c r="Y15" s="6" t="str">
        <f t="shared" si="1"/>
        <v>Indian</v>
      </c>
      <c r="Z15" s="6"/>
      <c r="AA15" s="6"/>
    </row>
    <row r="16">
      <c r="A16" s="3">
        <v>2020.0</v>
      </c>
      <c r="B16" s="4" t="s">
        <v>71</v>
      </c>
      <c r="C16" s="4" t="s">
        <v>35</v>
      </c>
      <c r="D16" s="7" t="s">
        <v>36</v>
      </c>
      <c r="E16" s="4" t="s">
        <v>69</v>
      </c>
      <c r="F16" s="4">
        <v>17.0</v>
      </c>
      <c r="G16" s="4">
        <v>3.0</v>
      </c>
      <c r="H16" s="4">
        <v>18.0</v>
      </c>
      <c r="I16" s="4">
        <v>11.0</v>
      </c>
      <c r="J16" s="4">
        <v>9.0</v>
      </c>
      <c r="K16" s="4">
        <v>100.0</v>
      </c>
      <c r="L16" s="4">
        <v>2.0</v>
      </c>
      <c r="M16" s="4">
        <v>0.0</v>
      </c>
      <c r="N16" s="4">
        <v>0.0</v>
      </c>
      <c r="O16" s="4">
        <v>0.0</v>
      </c>
      <c r="P16" s="4">
        <v>0.0</v>
      </c>
      <c r="Q16" s="4">
        <v>30.0</v>
      </c>
      <c r="R16" s="4">
        <v>64.0</v>
      </c>
      <c r="S16" s="4">
        <v>8.34</v>
      </c>
      <c r="T16" s="4">
        <v>16.73</v>
      </c>
      <c r="U16" s="4">
        <v>12.8</v>
      </c>
      <c r="V16" s="4" t="s">
        <v>72</v>
      </c>
      <c r="W16" s="4">
        <v>3.0</v>
      </c>
      <c r="X16" s="4" t="s">
        <v>46</v>
      </c>
      <c r="Y16" s="6" t="str">
        <f t="shared" si="1"/>
        <v>Overseas</v>
      </c>
      <c r="Z16" s="6"/>
      <c r="AA16" s="6"/>
    </row>
    <row r="17">
      <c r="A17" s="3">
        <v>2020.0</v>
      </c>
      <c r="B17" s="4" t="s">
        <v>73</v>
      </c>
      <c r="C17" s="4" t="s">
        <v>44</v>
      </c>
      <c r="D17" s="9" t="s">
        <v>45</v>
      </c>
      <c r="E17" s="4" t="s">
        <v>69</v>
      </c>
      <c r="F17" s="4">
        <v>15.0</v>
      </c>
      <c r="G17" s="4">
        <v>1.0</v>
      </c>
      <c r="H17" s="4">
        <v>3.0</v>
      </c>
      <c r="I17" s="4">
        <v>3.0</v>
      </c>
      <c r="J17" s="4">
        <v>3.0</v>
      </c>
      <c r="K17" s="4">
        <v>75.0</v>
      </c>
      <c r="L17" s="4">
        <v>0.0</v>
      </c>
      <c r="M17" s="4">
        <v>0.0</v>
      </c>
      <c r="N17" s="4">
        <v>0.0</v>
      </c>
      <c r="O17" s="4">
        <v>0.0</v>
      </c>
      <c r="P17" s="4">
        <v>0.0</v>
      </c>
      <c r="Q17" s="4">
        <v>25.0</v>
      </c>
      <c r="R17" s="4">
        <v>57.3</v>
      </c>
      <c r="S17" s="4">
        <v>7.97</v>
      </c>
      <c r="T17" s="4">
        <v>18.16</v>
      </c>
      <c r="U17" s="4">
        <v>13.8</v>
      </c>
      <c r="V17" s="4" t="s">
        <v>74</v>
      </c>
      <c r="W17" s="4">
        <v>3.0</v>
      </c>
      <c r="X17" s="4" t="s">
        <v>75</v>
      </c>
      <c r="Y17" s="6" t="str">
        <f t="shared" si="1"/>
        <v>Overseas</v>
      </c>
      <c r="Z17" s="6"/>
      <c r="AA17" s="6"/>
    </row>
    <row r="18">
      <c r="A18" s="3">
        <v>2020.0</v>
      </c>
      <c r="B18" s="4" t="s">
        <v>76</v>
      </c>
      <c r="C18" s="4" t="s">
        <v>35</v>
      </c>
      <c r="D18" s="7" t="s">
        <v>36</v>
      </c>
      <c r="E18" s="4" t="s">
        <v>69</v>
      </c>
      <c r="F18" s="4">
        <v>16.0</v>
      </c>
      <c r="G18" s="4">
        <v>1.0</v>
      </c>
      <c r="H18" s="4">
        <v>3.0</v>
      </c>
      <c r="I18" s="4">
        <v>3.0</v>
      </c>
      <c r="J18" s="4">
        <v>3.0</v>
      </c>
      <c r="K18" s="4">
        <v>75.0</v>
      </c>
      <c r="L18" s="4">
        <v>0.0</v>
      </c>
      <c r="M18" s="4">
        <v>0.0</v>
      </c>
      <c r="N18" s="4">
        <v>0.0</v>
      </c>
      <c r="O18" s="4">
        <v>0.0</v>
      </c>
      <c r="P18" s="4">
        <v>0.0</v>
      </c>
      <c r="Q18" s="4">
        <v>22.0</v>
      </c>
      <c r="R18" s="4">
        <v>58.0</v>
      </c>
      <c r="S18" s="4">
        <v>8.37</v>
      </c>
      <c r="T18" s="4">
        <v>19.54</v>
      </c>
      <c r="U18" s="4">
        <v>15.81</v>
      </c>
      <c r="V18" s="4" t="s">
        <v>74</v>
      </c>
      <c r="W18" s="4">
        <v>2.0</v>
      </c>
      <c r="X18" s="4" t="s">
        <v>46</v>
      </c>
      <c r="Y18" s="6" t="str">
        <f t="shared" si="1"/>
        <v>Overseas</v>
      </c>
      <c r="Z18" s="6"/>
      <c r="AA18" s="6"/>
    </row>
    <row r="19">
      <c r="A19" s="3">
        <v>2020.0</v>
      </c>
      <c r="B19" s="4" t="s">
        <v>77</v>
      </c>
      <c r="C19" s="10" t="s">
        <v>49</v>
      </c>
      <c r="D19" s="11" t="s">
        <v>50</v>
      </c>
      <c r="E19" s="4" t="s">
        <v>69</v>
      </c>
      <c r="F19" s="4">
        <v>15.0</v>
      </c>
      <c r="G19" s="4">
        <v>1.0</v>
      </c>
      <c r="H19" s="4">
        <v>2.0</v>
      </c>
      <c r="I19" s="4">
        <v>2.0</v>
      </c>
      <c r="J19" s="4">
        <v>2.0</v>
      </c>
      <c r="K19" s="4">
        <v>66.67</v>
      </c>
      <c r="L19" s="4">
        <v>0.0</v>
      </c>
      <c r="M19" s="4">
        <v>0.0</v>
      </c>
      <c r="N19" s="4">
        <v>0.0</v>
      </c>
      <c r="O19" s="4">
        <v>0.0</v>
      </c>
      <c r="P19" s="4">
        <v>0.0</v>
      </c>
      <c r="Q19" s="4">
        <v>21.0</v>
      </c>
      <c r="R19" s="4">
        <v>58.0</v>
      </c>
      <c r="S19" s="4">
        <v>8.02</v>
      </c>
      <c r="T19" s="4">
        <v>22.09</v>
      </c>
      <c r="U19" s="4">
        <v>16.57</v>
      </c>
      <c r="V19" s="4" t="s">
        <v>78</v>
      </c>
      <c r="W19" s="4">
        <v>9.0</v>
      </c>
      <c r="X19" s="4" t="s">
        <v>33</v>
      </c>
      <c r="Y19" s="6" t="str">
        <f t="shared" si="1"/>
        <v>Indian</v>
      </c>
      <c r="Z19" s="6"/>
      <c r="AA19" s="6"/>
    </row>
    <row r="20">
      <c r="A20" s="3">
        <v>2020.0</v>
      </c>
      <c r="B20" s="4" t="s">
        <v>79</v>
      </c>
      <c r="C20" s="4" t="s">
        <v>40</v>
      </c>
      <c r="D20" s="8" t="s">
        <v>41</v>
      </c>
      <c r="E20" s="4" t="s">
        <v>69</v>
      </c>
      <c r="F20" s="4">
        <v>16.0</v>
      </c>
      <c r="G20" s="4">
        <v>4.0</v>
      </c>
      <c r="H20" s="4">
        <v>22.0</v>
      </c>
      <c r="I20" s="4">
        <v>18.0</v>
      </c>
      <c r="J20" s="4">
        <v>5.5</v>
      </c>
      <c r="K20" s="4">
        <v>115.79</v>
      </c>
      <c r="L20" s="4">
        <v>2.0</v>
      </c>
      <c r="M20" s="4">
        <v>0.0</v>
      </c>
      <c r="N20" s="4">
        <v>0.0</v>
      </c>
      <c r="O20" s="4">
        <v>0.0</v>
      </c>
      <c r="P20" s="4">
        <v>0.0</v>
      </c>
      <c r="Q20" s="4">
        <v>20.0</v>
      </c>
      <c r="R20" s="4">
        <v>60.0</v>
      </c>
      <c r="S20" s="4">
        <v>5.37</v>
      </c>
      <c r="T20" s="4">
        <v>16.1</v>
      </c>
      <c r="U20" s="4">
        <v>18.0</v>
      </c>
      <c r="V20" s="4" t="s">
        <v>80</v>
      </c>
      <c r="W20" s="4">
        <v>12.0</v>
      </c>
      <c r="X20" s="4" t="s">
        <v>81</v>
      </c>
      <c r="Y20" s="6" t="str">
        <f t="shared" si="1"/>
        <v>Overseas</v>
      </c>
      <c r="Z20" s="6"/>
      <c r="AA20" s="6"/>
    </row>
    <row r="21">
      <c r="A21" s="3">
        <v>2020.0</v>
      </c>
      <c r="B21" s="4" t="s">
        <v>82</v>
      </c>
      <c r="C21" s="4" t="s">
        <v>28</v>
      </c>
      <c r="D21" s="5" t="s">
        <v>29</v>
      </c>
      <c r="E21" s="4" t="s">
        <v>69</v>
      </c>
      <c r="F21" s="4">
        <v>14.0</v>
      </c>
      <c r="G21" s="4">
        <v>1.0</v>
      </c>
      <c r="H21" s="4">
        <v>4.0</v>
      </c>
      <c r="I21" s="4">
        <v>4.0</v>
      </c>
      <c r="J21" s="4">
        <v>4.0</v>
      </c>
      <c r="K21" s="4">
        <v>80.0</v>
      </c>
      <c r="L21" s="4">
        <v>0.0</v>
      </c>
      <c r="M21" s="4">
        <v>0.0</v>
      </c>
      <c r="N21" s="4">
        <v>0.0</v>
      </c>
      <c r="O21" s="4">
        <v>0.0</v>
      </c>
      <c r="P21" s="4">
        <v>0.0</v>
      </c>
      <c r="Q21" s="4">
        <v>20.0</v>
      </c>
      <c r="R21" s="4">
        <v>54.0</v>
      </c>
      <c r="S21" s="4">
        <v>8.56</v>
      </c>
      <c r="T21" s="4">
        <v>23.15</v>
      </c>
      <c r="U21" s="4">
        <v>16.2</v>
      </c>
      <c r="V21" s="4" t="s">
        <v>83</v>
      </c>
      <c r="W21" s="4">
        <v>2.0</v>
      </c>
      <c r="X21" s="4" t="s">
        <v>33</v>
      </c>
      <c r="Y21" s="6" t="str">
        <f t="shared" si="1"/>
        <v>Indian</v>
      </c>
      <c r="Z21" s="6"/>
      <c r="AA21" s="6"/>
    </row>
    <row r="22">
      <c r="A22" s="3">
        <v>2020.0</v>
      </c>
      <c r="B22" s="4" t="s">
        <v>84</v>
      </c>
      <c r="C22" s="4" t="s">
        <v>35</v>
      </c>
      <c r="D22" s="7" t="s">
        <v>36</v>
      </c>
      <c r="E22" s="4" t="s">
        <v>63</v>
      </c>
      <c r="F22" s="4">
        <v>16.0</v>
      </c>
      <c r="G22" s="4">
        <v>8.0</v>
      </c>
      <c r="H22" s="4">
        <v>100.0</v>
      </c>
      <c r="I22" s="4">
        <v>42.0</v>
      </c>
      <c r="J22" s="4">
        <v>14.29</v>
      </c>
      <c r="K22" s="4">
        <v>114.94</v>
      </c>
      <c r="L22" s="4">
        <v>8.0</v>
      </c>
      <c r="M22" s="4">
        <v>2.0</v>
      </c>
      <c r="N22" s="4">
        <v>0.0</v>
      </c>
      <c r="O22" s="4">
        <v>0.0</v>
      </c>
      <c r="P22" s="4">
        <v>3.0</v>
      </c>
      <c r="Q22" s="4">
        <v>14.0</v>
      </c>
      <c r="R22" s="4">
        <v>54.5</v>
      </c>
      <c r="S22" s="4">
        <v>6.41</v>
      </c>
      <c r="T22" s="4">
        <v>22.21</v>
      </c>
      <c r="U22" s="4">
        <v>23.5</v>
      </c>
      <c r="V22" s="4" t="s">
        <v>85</v>
      </c>
      <c r="W22" s="4">
        <v>8.0</v>
      </c>
      <c r="X22" s="4" t="s">
        <v>33</v>
      </c>
      <c r="Y22" s="6" t="str">
        <f t="shared" si="1"/>
        <v>Indian</v>
      </c>
      <c r="Z22" s="6"/>
      <c r="AA22" s="6"/>
    </row>
    <row r="23">
      <c r="A23" s="3">
        <v>2020.0</v>
      </c>
      <c r="B23" s="4" t="s">
        <v>86</v>
      </c>
      <c r="C23" s="4" t="s">
        <v>54</v>
      </c>
      <c r="D23" s="12" t="s">
        <v>55</v>
      </c>
      <c r="E23" s="4" t="s">
        <v>37</v>
      </c>
      <c r="F23" s="4">
        <v>0.0</v>
      </c>
      <c r="G23" s="4">
        <v>0.0</v>
      </c>
      <c r="H23" s="4" t="s">
        <v>87</v>
      </c>
      <c r="I23" s="4" t="s">
        <v>87</v>
      </c>
      <c r="J23" s="4" t="s">
        <v>87</v>
      </c>
      <c r="K23" s="4" t="s">
        <v>87</v>
      </c>
      <c r="L23" s="4" t="s">
        <v>87</v>
      </c>
      <c r="M23" s="4" t="s">
        <v>87</v>
      </c>
      <c r="N23" s="4" t="s">
        <v>87</v>
      </c>
      <c r="O23" s="4" t="s">
        <v>87</v>
      </c>
      <c r="P23" s="4" t="s">
        <v>87</v>
      </c>
      <c r="Q23" s="4">
        <v>0.0</v>
      </c>
      <c r="R23" s="4">
        <v>0.0</v>
      </c>
      <c r="S23" s="4">
        <v>0.0</v>
      </c>
      <c r="T23" s="4">
        <v>0.0</v>
      </c>
      <c r="U23" s="4">
        <v>0.0</v>
      </c>
      <c r="V23" s="4" t="s">
        <v>32</v>
      </c>
      <c r="W23" s="4">
        <v>0.0</v>
      </c>
      <c r="X23" s="4" t="s">
        <v>33</v>
      </c>
      <c r="Y23" s="6" t="str">
        <f t="shared" si="1"/>
        <v>Indian</v>
      </c>
      <c r="Z23" s="6"/>
      <c r="AA23" s="6"/>
    </row>
    <row r="24">
      <c r="A24" s="3">
        <v>2020.0</v>
      </c>
      <c r="B24" s="4" t="s">
        <v>88</v>
      </c>
      <c r="C24" s="4" t="s">
        <v>59</v>
      </c>
      <c r="D24" s="13" t="s">
        <v>60</v>
      </c>
      <c r="E24" s="4" t="s">
        <v>63</v>
      </c>
      <c r="F24" s="4">
        <v>14.0</v>
      </c>
      <c r="G24" s="4">
        <v>14.0</v>
      </c>
      <c r="H24" s="4">
        <v>285.0</v>
      </c>
      <c r="I24" s="4" t="s">
        <v>89</v>
      </c>
      <c r="J24" s="4">
        <v>23.75</v>
      </c>
      <c r="K24" s="4">
        <v>128.83</v>
      </c>
      <c r="L24" s="4">
        <v>24.0</v>
      </c>
      <c r="M24" s="4">
        <v>12.0</v>
      </c>
      <c r="N24" s="4">
        <v>0.0</v>
      </c>
      <c r="O24" s="4">
        <v>1.0</v>
      </c>
      <c r="P24" s="4">
        <v>0.0</v>
      </c>
      <c r="Q24" s="4">
        <v>8.0</v>
      </c>
      <c r="R24" s="4">
        <v>36.0</v>
      </c>
      <c r="S24" s="4">
        <v>8.22</v>
      </c>
      <c r="T24" s="4">
        <v>35.0</v>
      </c>
      <c r="U24" s="4">
        <v>27.0</v>
      </c>
      <c r="V24" s="4" t="s">
        <v>90</v>
      </c>
      <c r="W24" s="4">
        <v>7.0</v>
      </c>
      <c r="X24" s="4" t="s">
        <v>91</v>
      </c>
      <c r="Y24" s="6" t="str">
        <f t="shared" si="1"/>
        <v>Overseas</v>
      </c>
      <c r="Z24" s="6"/>
      <c r="AA24" s="6"/>
    </row>
    <row r="25">
      <c r="A25" s="14">
        <v>2021.0</v>
      </c>
      <c r="B25" s="15" t="s">
        <v>92</v>
      </c>
      <c r="C25" s="15" t="s">
        <v>54</v>
      </c>
      <c r="D25" s="12" t="s">
        <v>55</v>
      </c>
      <c r="E25" s="15" t="s">
        <v>37</v>
      </c>
      <c r="F25" s="15">
        <v>16.0</v>
      </c>
      <c r="G25" s="15">
        <v>16.0</v>
      </c>
      <c r="H25" s="15">
        <v>635.0</v>
      </c>
      <c r="I25" s="15" t="s">
        <v>93</v>
      </c>
      <c r="J25" s="15">
        <v>45.35</v>
      </c>
      <c r="K25" s="15">
        <v>136.26</v>
      </c>
      <c r="L25" s="15">
        <v>60.0</v>
      </c>
      <c r="M25" s="15">
        <v>22.0</v>
      </c>
      <c r="N25" s="15">
        <v>4.0</v>
      </c>
      <c r="O25" s="15">
        <v>1.0</v>
      </c>
      <c r="P25" s="15">
        <v>3.0</v>
      </c>
      <c r="Q25" s="15">
        <v>0.0</v>
      </c>
      <c r="R25" s="15">
        <v>0.0</v>
      </c>
      <c r="S25" s="15">
        <v>0.0</v>
      </c>
      <c r="T25" s="15">
        <v>0.0</v>
      </c>
      <c r="U25" s="15">
        <v>0.0</v>
      </c>
      <c r="V25" s="15" t="s">
        <v>32</v>
      </c>
      <c r="W25" s="15">
        <v>8.0</v>
      </c>
      <c r="X25" s="15" t="s">
        <v>33</v>
      </c>
      <c r="Y25" s="6" t="str">
        <f t="shared" si="1"/>
        <v>Indian</v>
      </c>
      <c r="Z25" s="6"/>
      <c r="AA25" s="6"/>
    </row>
    <row r="26">
      <c r="A26" s="14">
        <v>2021.0</v>
      </c>
      <c r="B26" s="15" t="s">
        <v>53</v>
      </c>
      <c r="C26" s="15" t="s">
        <v>54</v>
      </c>
      <c r="D26" s="12" t="s">
        <v>55</v>
      </c>
      <c r="E26" s="15" t="s">
        <v>37</v>
      </c>
      <c r="F26" s="15">
        <v>16.0</v>
      </c>
      <c r="G26" s="15">
        <v>16.0</v>
      </c>
      <c r="H26" s="15">
        <v>633.0</v>
      </c>
      <c r="I26" s="15">
        <v>86.0</v>
      </c>
      <c r="J26" s="15">
        <v>44.5</v>
      </c>
      <c r="K26" s="15">
        <v>133.19</v>
      </c>
      <c r="L26" s="15">
        <v>64.0</v>
      </c>
      <c r="M26" s="15">
        <v>22.0</v>
      </c>
      <c r="N26" s="15">
        <v>6.0</v>
      </c>
      <c r="O26" s="15">
        <v>0.0</v>
      </c>
      <c r="P26" s="15">
        <v>2.0</v>
      </c>
      <c r="Q26" s="15">
        <v>0.0</v>
      </c>
      <c r="R26" s="15">
        <v>0.0</v>
      </c>
      <c r="S26" s="15">
        <v>0.0</v>
      </c>
      <c r="T26" s="15">
        <v>0.0</v>
      </c>
      <c r="U26" s="15">
        <v>0.0</v>
      </c>
      <c r="V26" s="15" t="s">
        <v>32</v>
      </c>
      <c r="W26" s="15">
        <v>10.0</v>
      </c>
      <c r="X26" s="15" t="s">
        <v>46</v>
      </c>
      <c r="Y26" s="6" t="str">
        <f t="shared" si="1"/>
        <v>Overseas</v>
      </c>
      <c r="Z26" s="6"/>
      <c r="AA26" s="6"/>
    </row>
    <row r="27">
      <c r="A27" s="14">
        <v>2021.0</v>
      </c>
      <c r="B27" s="15" t="s">
        <v>27</v>
      </c>
      <c r="C27" s="15" t="s">
        <v>94</v>
      </c>
      <c r="D27" s="5" t="s">
        <v>95</v>
      </c>
      <c r="E27" s="15" t="s">
        <v>30</v>
      </c>
      <c r="F27" s="15">
        <v>13.0</v>
      </c>
      <c r="G27" s="15">
        <v>13.0</v>
      </c>
      <c r="H27" s="15">
        <v>626.0</v>
      </c>
      <c r="I27" s="15">
        <v>91.0</v>
      </c>
      <c r="J27" s="15">
        <v>52.17</v>
      </c>
      <c r="K27" s="15">
        <v>136.75</v>
      </c>
      <c r="L27" s="15">
        <v>48.0</v>
      </c>
      <c r="M27" s="15">
        <v>22.0</v>
      </c>
      <c r="N27" s="15">
        <v>6.0</v>
      </c>
      <c r="O27" s="15">
        <v>0.0</v>
      </c>
      <c r="P27" s="15">
        <v>3.0</v>
      </c>
      <c r="Q27" s="15">
        <v>0.0</v>
      </c>
      <c r="R27" s="15">
        <v>0.0</v>
      </c>
      <c r="S27" s="15">
        <v>0.0</v>
      </c>
      <c r="T27" s="15">
        <v>0.0</v>
      </c>
      <c r="U27" s="15">
        <v>0.0</v>
      </c>
      <c r="V27" s="15" t="s">
        <v>32</v>
      </c>
      <c r="W27" s="15">
        <v>9.0</v>
      </c>
      <c r="X27" s="15" t="s">
        <v>33</v>
      </c>
      <c r="Y27" s="6" t="str">
        <f t="shared" si="1"/>
        <v>Indian</v>
      </c>
      <c r="Z27" s="6"/>
      <c r="AA27" s="6"/>
    </row>
    <row r="28">
      <c r="A28" s="14">
        <v>2021.0</v>
      </c>
      <c r="B28" s="15" t="s">
        <v>34</v>
      </c>
      <c r="C28" s="15" t="s">
        <v>35</v>
      </c>
      <c r="D28" s="7" t="s">
        <v>36</v>
      </c>
      <c r="E28" s="15" t="s">
        <v>37</v>
      </c>
      <c r="F28" s="15">
        <v>16.0</v>
      </c>
      <c r="G28" s="15">
        <v>16.0</v>
      </c>
      <c r="H28" s="15">
        <v>587.0</v>
      </c>
      <c r="I28" s="15">
        <v>92.0</v>
      </c>
      <c r="J28" s="15">
        <v>46.15</v>
      </c>
      <c r="K28" s="15">
        <v>122.37</v>
      </c>
      <c r="L28" s="15">
        <v>68.0</v>
      </c>
      <c r="M28" s="15">
        <v>10.0</v>
      </c>
      <c r="N28" s="15">
        <v>7.0</v>
      </c>
      <c r="O28" s="15">
        <v>0.0</v>
      </c>
      <c r="P28" s="15">
        <v>3.0</v>
      </c>
      <c r="Q28" s="15">
        <v>0.0</v>
      </c>
      <c r="R28" s="15">
        <v>0.0</v>
      </c>
      <c r="S28" s="15">
        <v>0.0</v>
      </c>
      <c r="T28" s="15">
        <v>0.0</v>
      </c>
      <c r="U28" s="15">
        <v>0.0</v>
      </c>
      <c r="V28" s="15" t="s">
        <v>32</v>
      </c>
      <c r="W28" s="15">
        <v>11.0</v>
      </c>
      <c r="X28" s="15" t="s">
        <v>33</v>
      </c>
      <c r="Y28" s="6" t="str">
        <f t="shared" si="1"/>
        <v>Indian</v>
      </c>
      <c r="Z28" s="6"/>
      <c r="AA28" s="6"/>
    </row>
    <row r="29">
      <c r="A29" s="14">
        <v>2021.0</v>
      </c>
      <c r="B29" s="15" t="s">
        <v>96</v>
      </c>
      <c r="C29" s="16" t="s">
        <v>49</v>
      </c>
      <c r="D29" s="11" t="s">
        <v>50</v>
      </c>
      <c r="E29" s="15" t="s">
        <v>63</v>
      </c>
      <c r="F29" s="15">
        <v>15.0</v>
      </c>
      <c r="G29" s="15">
        <v>15.0</v>
      </c>
      <c r="H29" s="15">
        <v>513.0</v>
      </c>
      <c r="I29" s="15">
        <v>78.0</v>
      </c>
      <c r="J29" s="15">
        <v>36.64</v>
      </c>
      <c r="K29" s="15">
        <v>144.38</v>
      </c>
      <c r="L29" s="15">
        <v>36.0</v>
      </c>
      <c r="M29" s="15">
        <v>30.0</v>
      </c>
      <c r="N29" s="15">
        <v>5.0</v>
      </c>
      <c r="O29" s="15">
        <v>0.0</v>
      </c>
      <c r="P29" s="15">
        <v>1.0</v>
      </c>
      <c r="Q29" s="15">
        <v>3.0</v>
      </c>
      <c r="R29" s="15">
        <v>12.0</v>
      </c>
      <c r="S29" s="15">
        <v>8.08</v>
      </c>
      <c r="T29" s="15">
        <v>32.33</v>
      </c>
      <c r="U29" s="15">
        <v>24.0</v>
      </c>
      <c r="V29" s="15" t="s">
        <v>97</v>
      </c>
      <c r="W29" s="15">
        <v>8.0</v>
      </c>
      <c r="X29" s="15" t="s">
        <v>42</v>
      </c>
      <c r="Y29" s="6" t="str">
        <f t="shared" si="1"/>
        <v>Overseas</v>
      </c>
      <c r="Z29" s="6"/>
      <c r="AA29" s="6"/>
    </row>
    <row r="30">
      <c r="A30" s="14">
        <v>2021.0</v>
      </c>
      <c r="B30" s="15" t="s">
        <v>98</v>
      </c>
      <c r="C30" s="15" t="s">
        <v>44</v>
      </c>
      <c r="D30" s="9" t="s">
        <v>45</v>
      </c>
      <c r="E30" s="15" t="s">
        <v>37</v>
      </c>
      <c r="F30" s="15">
        <v>14.0</v>
      </c>
      <c r="G30" s="15">
        <v>14.0</v>
      </c>
      <c r="H30" s="15">
        <v>479.0</v>
      </c>
      <c r="I30" s="15">
        <v>82.0</v>
      </c>
      <c r="J30" s="15">
        <v>41.65</v>
      </c>
      <c r="K30" s="15">
        <v>162.71</v>
      </c>
      <c r="L30" s="15">
        <v>42.0</v>
      </c>
      <c r="M30" s="15">
        <v>26.0</v>
      </c>
      <c r="N30" s="15">
        <v>4.0</v>
      </c>
      <c r="O30" s="15">
        <v>0.0</v>
      </c>
      <c r="P30" s="15">
        <v>3.0</v>
      </c>
      <c r="Q30" s="15">
        <v>0.0</v>
      </c>
      <c r="R30" s="15">
        <v>0.0</v>
      </c>
      <c r="S30" s="15">
        <v>0.0</v>
      </c>
      <c r="T30" s="15">
        <v>0.0</v>
      </c>
      <c r="U30" s="15">
        <v>0.0</v>
      </c>
      <c r="V30" s="15" t="s">
        <v>32</v>
      </c>
      <c r="W30" s="15">
        <v>7.0</v>
      </c>
      <c r="X30" s="15" t="s">
        <v>33</v>
      </c>
      <c r="Y30" s="6" t="str">
        <f t="shared" si="1"/>
        <v>Indian</v>
      </c>
      <c r="Z30" s="6"/>
      <c r="AA30" s="6"/>
    </row>
    <row r="31">
      <c r="A31" s="14">
        <v>2021.0</v>
      </c>
      <c r="B31" s="15" t="s">
        <v>99</v>
      </c>
      <c r="C31" s="15" t="s">
        <v>54</v>
      </c>
      <c r="D31" s="12" t="s">
        <v>55</v>
      </c>
      <c r="E31" s="15" t="s">
        <v>37</v>
      </c>
      <c r="F31" s="15">
        <v>1.0</v>
      </c>
      <c r="G31" s="15">
        <v>1.0</v>
      </c>
      <c r="H31" s="15">
        <v>12.0</v>
      </c>
      <c r="I31" s="15">
        <v>12.0</v>
      </c>
      <c r="J31" s="15">
        <v>12.0</v>
      </c>
      <c r="K31" s="15">
        <v>100.0</v>
      </c>
      <c r="L31" s="15">
        <v>1.0</v>
      </c>
      <c r="M31" s="15">
        <v>0.0</v>
      </c>
      <c r="N31" s="15">
        <v>0.0</v>
      </c>
      <c r="O31" s="15">
        <v>0.0</v>
      </c>
      <c r="P31" s="15">
        <v>0.0</v>
      </c>
      <c r="Q31" s="15">
        <v>0.0</v>
      </c>
      <c r="R31" s="15">
        <v>0.0</v>
      </c>
      <c r="S31" s="15">
        <v>0.0</v>
      </c>
      <c r="T31" s="15">
        <v>0.0</v>
      </c>
      <c r="U31" s="15">
        <v>0.0</v>
      </c>
      <c r="V31" s="15" t="s">
        <v>32</v>
      </c>
      <c r="W31" s="15">
        <v>0.0</v>
      </c>
      <c r="X31" s="15" t="s">
        <v>33</v>
      </c>
      <c r="Y31" s="6" t="str">
        <f t="shared" si="1"/>
        <v>Indian</v>
      </c>
      <c r="Z31" s="6"/>
      <c r="AA31" s="6"/>
    </row>
    <row r="32">
      <c r="A32" s="14">
        <v>2021.0</v>
      </c>
      <c r="B32" s="15" t="s">
        <v>58</v>
      </c>
      <c r="C32" s="15" t="s">
        <v>59</v>
      </c>
      <c r="D32" s="13" t="s">
        <v>60</v>
      </c>
      <c r="E32" s="15" t="s">
        <v>30</v>
      </c>
      <c r="F32" s="15">
        <v>14.0</v>
      </c>
      <c r="G32" s="15">
        <v>14.0</v>
      </c>
      <c r="H32" s="15">
        <v>484.0</v>
      </c>
      <c r="I32" s="15">
        <v>119.0</v>
      </c>
      <c r="J32" s="15">
        <v>37.23</v>
      </c>
      <c r="K32" s="15">
        <v>145.63</v>
      </c>
      <c r="L32" s="15">
        <v>42.0</v>
      </c>
      <c r="M32" s="15">
        <v>22.0</v>
      </c>
      <c r="N32" s="15">
        <v>3.0</v>
      </c>
      <c r="O32" s="15">
        <v>1.0</v>
      </c>
      <c r="P32" s="15">
        <v>1.0</v>
      </c>
      <c r="Q32" s="15">
        <v>0.0</v>
      </c>
      <c r="R32" s="15">
        <v>0.0</v>
      </c>
      <c r="S32" s="15">
        <v>0.0</v>
      </c>
      <c r="T32" s="15">
        <v>0.0</v>
      </c>
      <c r="U32" s="15">
        <v>0.0</v>
      </c>
      <c r="V32" s="15" t="s">
        <v>32</v>
      </c>
      <c r="W32" s="15">
        <v>10.0</v>
      </c>
      <c r="X32" s="15" t="s">
        <v>33</v>
      </c>
      <c r="Y32" s="6" t="str">
        <f t="shared" si="1"/>
        <v>Indian</v>
      </c>
      <c r="Z32" s="6"/>
      <c r="AA32" s="6"/>
    </row>
    <row r="33">
      <c r="A33" s="14">
        <v>2021.0</v>
      </c>
      <c r="B33" s="15" t="s">
        <v>39</v>
      </c>
      <c r="C33" s="15" t="s">
        <v>40</v>
      </c>
      <c r="D33" s="8" t="s">
        <v>41</v>
      </c>
      <c r="E33" s="15" t="s">
        <v>37</v>
      </c>
      <c r="F33" s="15">
        <v>8.0</v>
      </c>
      <c r="G33" s="15">
        <v>8.0</v>
      </c>
      <c r="H33" s="15">
        <v>195.0</v>
      </c>
      <c r="I33" s="15">
        <v>57.0</v>
      </c>
      <c r="J33" s="15">
        <v>27.86</v>
      </c>
      <c r="K33" s="15">
        <v>104.28</v>
      </c>
      <c r="L33" s="15">
        <v>20.0</v>
      </c>
      <c r="M33" s="15">
        <v>6.0</v>
      </c>
      <c r="N33" s="15">
        <v>1.0</v>
      </c>
      <c r="O33" s="15">
        <v>0.0</v>
      </c>
      <c r="P33" s="15">
        <v>1.0</v>
      </c>
      <c r="Q33" s="15">
        <v>0.0</v>
      </c>
      <c r="R33" s="15">
        <v>0.0</v>
      </c>
      <c r="S33" s="15">
        <v>0.0</v>
      </c>
      <c r="T33" s="15">
        <v>0.0</v>
      </c>
      <c r="U33" s="15">
        <v>0.0</v>
      </c>
      <c r="V33" s="15" t="s">
        <v>32</v>
      </c>
      <c r="W33" s="15">
        <v>4.0</v>
      </c>
      <c r="X33" s="15" t="s">
        <v>42</v>
      </c>
      <c r="Y33" s="6" t="str">
        <f t="shared" si="1"/>
        <v>Overseas</v>
      </c>
      <c r="Z33" s="6"/>
      <c r="AA33" s="6"/>
    </row>
    <row r="34">
      <c r="A34" s="14">
        <v>2021.0</v>
      </c>
      <c r="B34" s="15" t="s">
        <v>100</v>
      </c>
      <c r="C34" s="16" t="s">
        <v>49</v>
      </c>
      <c r="D34" s="11" t="s">
        <v>50</v>
      </c>
      <c r="E34" s="15" t="s">
        <v>37</v>
      </c>
      <c r="F34" s="15">
        <v>15.0</v>
      </c>
      <c r="G34" s="15">
        <v>15.0</v>
      </c>
      <c r="H34" s="15">
        <v>405.0</v>
      </c>
      <c r="I34" s="15">
        <v>72.0</v>
      </c>
      <c r="J34" s="15">
        <v>29.3</v>
      </c>
      <c r="K34" s="15">
        <v>119.12</v>
      </c>
      <c r="L34" s="15">
        <v>40.0</v>
      </c>
      <c r="M34" s="15">
        <v>8.0</v>
      </c>
      <c r="N34" s="15">
        <v>3.0</v>
      </c>
      <c r="O34" s="15">
        <v>0.0</v>
      </c>
      <c r="P34" s="15">
        <v>2.0</v>
      </c>
      <c r="Q34" s="15">
        <v>0.0</v>
      </c>
      <c r="R34" s="15">
        <v>0.0</v>
      </c>
      <c r="S34" s="15">
        <v>0.0</v>
      </c>
      <c r="T34" s="15">
        <v>0.0</v>
      </c>
      <c r="U34" s="15">
        <v>0.0</v>
      </c>
      <c r="V34" s="15" t="s">
        <v>32</v>
      </c>
      <c r="W34" s="15">
        <v>11.0</v>
      </c>
      <c r="X34" s="15" t="s">
        <v>33</v>
      </c>
      <c r="Y34" s="6" t="str">
        <f t="shared" si="1"/>
        <v>Indian</v>
      </c>
      <c r="Z34" s="6"/>
      <c r="AA34" s="6"/>
    </row>
    <row r="35">
      <c r="A35" s="14">
        <v>2021.0</v>
      </c>
      <c r="B35" s="15" t="s">
        <v>101</v>
      </c>
      <c r="C35" s="16" t="s">
        <v>49</v>
      </c>
      <c r="D35" s="11" t="s">
        <v>50</v>
      </c>
      <c r="E35" s="15" t="s">
        <v>69</v>
      </c>
      <c r="F35" s="15">
        <v>15.0</v>
      </c>
      <c r="G35" s="15">
        <v>4.0</v>
      </c>
      <c r="H35" s="15">
        <v>54.0</v>
      </c>
      <c r="I35" s="15">
        <v>23.0</v>
      </c>
      <c r="J35" s="15">
        <v>13.5</v>
      </c>
      <c r="K35" s="15">
        <v>124.41</v>
      </c>
      <c r="L35" s="15">
        <v>3.0</v>
      </c>
      <c r="M35" s="15">
        <v>3.0</v>
      </c>
      <c r="N35" s="15">
        <v>0.0</v>
      </c>
      <c r="O35" s="15">
        <v>0.0</v>
      </c>
      <c r="P35" s="15">
        <v>0.0</v>
      </c>
      <c r="Q35" s="15">
        <v>32.0</v>
      </c>
      <c r="R35" s="15">
        <v>57.0</v>
      </c>
      <c r="S35" s="15">
        <v>8.14</v>
      </c>
      <c r="T35" s="15">
        <v>14.34</v>
      </c>
      <c r="U35" s="15">
        <v>10.68</v>
      </c>
      <c r="V35" s="15" t="s">
        <v>102</v>
      </c>
      <c r="W35" s="15">
        <v>5.0</v>
      </c>
      <c r="X35" s="15" t="s">
        <v>33</v>
      </c>
      <c r="Y35" s="6" t="str">
        <f t="shared" si="1"/>
        <v>Indian</v>
      </c>
      <c r="Z35" s="6"/>
      <c r="AA35" s="6"/>
    </row>
    <row r="36">
      <c r="A36" s="14">
        <v>2021.0</v>
      </c>
      <c r="B36" s="15" t="s">
        <v>103</v>
      </c>
      <c r="C36" s="15" t="s">
        <v>35</v>
      </c>
      <c r="D36" s="7" t="s">
        <v>36</v>
      </c>
      <c r="E36" s="15" t="s">
        <v>69</v>
      </c>
      <c r="F36" s="15">
        <v>16.0</v>
      </c>
      <c r="G36" s="15">
        <v>1.0</v>
      </c>
      <c r="H36" s="15">
        <v>3.0</v>
      </c>
      <c r="I36" s="15">
        <v>3.0</v>
      </c>
      <c r="J36" s="15">
        <v>3.0</v>
      </c>
      <c r="K36" s="15">
        <v>75.0</v>
      </c>
      <c r="L36" s="15">
        <v>0.0</v>
      </c>
      <c r="M36" s="15">
        <v>0.0</v>
      </c>
      <c r="N36" s="15">
        <v>0.0</v>
      </c>
      <c r="O36" s="15">
        <v>0.0</v>
      </c>
      <c r="P36" s="15">
        <v>0.0</v>
      </c>
      <c r="Q36" s="15">
        <v>24.0</v>
      </c>
      <c r="R36" s="15">
        <v>58.0</v>
      </c>
      <c r="S36" s="15">
        <v>7.37</v>
      </c>
      <c r="T36" s="15">
        <v>18.16</v>
      </c>
      <c r="U36" s="15">
        <v>14.5</v>
      </c>
      <c r="V36" s="15" t="s">
        <v>72</v>
      </c>
      <c r="W36" s="15">
        <v>2.0</v>
      </c>
      <c r="X36" s="15" t="s">
        <v>33</v>
      </c>
      <c r="Y36" s="6" t="str">
        <f t="shared" si="1"/>
        <v>Indian</v>
      </c>
      <c r="Z36" s="6"/>
      <c r="AA36" s="6"/>
    </row>
    <row r="37">
      <c r="A37" s="14">
        <v>2021.0</v>
      </c>
      <c r="B37" s="15" t="s">
        <v>68</v>
      </c>
      <c r="C37" s="15" t="s">
        <v>44</v>
      </c>
      <c r="D37" s="9" t="s">
        <v>45</v>
      </c>
      <c r="E37" s="15" t="s">
        <v>69</v>
      </c>
      <c r="F37" s="15">
        <v>15.0</v>
      </c>
      <c r="G37" s="15">
        <v>1.0</v>
      </c>
      <c r="H37" s="15">
        <v>5.0</v>
      </c>
      <c r="I37" s="15">
        <v>5.0</v>
      </c>
      <c r="J37" s="15">
        <v>5.0</v>
      </c>
      <c r="K37" s="15">
        <v>100.0</v>
      </c>
      <c r="L37" s="15">
        <v>0.0</v>
      </c>
      <c r="M37" s="15">
        <v>0.0</v>
      </c>
      <c r="N37" s="15">
        <v>0.0</v>
      </c>
      <c r="O37" s="15">
        <v>0.0</v>
      </c>
      <c r="P37" s="15">
        <v>0.0</v>
      </c>
      <c r="Q37" s="15">
        <v>21.0</v>
      </c>
      <c r="R37" s="15">
        <v>57.4</v>
      </c>
      <c r="S37" s="15">
        <v>7.42</v>
      </c>
      <c r="T37" s="15">
        <v>20.09</v>
      </c>
      <c r="U37" s="15">
        <v>16.47</v>
      </c>
      <c r="V37" s="15" t="s">
        <v>104</v>
      </c>
      <c r="W37" s="15">
        <v>3.0</v>
      </c>
      <c r="X37" s="15" t="s">
        <v>33</v>
      </c>
      <c r="Y37" s="6" t="str">
        <f t="shared" si="1"/>
        <v>Indian</v>
      </c>
      <c r="Z37" s="6"/>
      <c r="AA37" s="6"/>
    </row>
    <row r="38">
      <c r="A38" s="14">
        <v>2021.0</v>
      </c>
      <c r="B38" s="15" t="s">
        <v>105</v>
      </c>
      <c r="C38" s="15" t="s">
        <v>54</v>
      </c>
      <c r="D38" s="12" t="s">
        <v>55</v>
      </c>
      <c r="E38" s="15" t="s">
        <v>63</v>
      </c>
      <c r="F38" s="15">
        <v>12.0</v>
      </c>
      <c r="G38" s="15">
        <v>8.0</v>
      </c>
      <c r="H38" s="15">
        <v>94.0</v>
      </c>
      <c r="I38" s="15">
        <v>38.0</v>
      </c>
      <c r="J38" s="15">
        <v>15.67</v>
      </c>
      <c r="K38" s="15">
        <v>145.31</v>
      </c>
      <c r="L38" s="15">
        <v>6.0</v>
      </c>
      <c r="M38" s="15">
        <v>6.0</v>
      </c>
      <c r="N38" s="15">
        <v>0.0</v>
      </c>
      <c r="O38" s="15">
        <v>0.0</v>
      </c>
      <c r="P38" s="15">
        <v>2.0</v>
      </c>
      <c r="Q38" s="15">
        <v>21.0</v>
      </c>
      <c r="R38" s="15">
        <v>44.0</v>
      </c>
      <c r="S38" s="15">
        <v>8.54</v>
      </c>
      <c r="T38" s="15">
        <v>19.38</v>
      </c>
      <c r="U38" s="15">
        <v>12.57</v>
      </c>
      <c r="V38" s="15" t="s">
        <v>106</v>
      </c>
      <c r="W38" s="15">
        <v>4.0</v>
      </c>
      <c r="X38" s="15" t="s">
        <v>33</v>
      </c>
      <c r="Y38" s="6" t="str">
        <f t="shared" si="1"/>
        <v>Indian</v>
      </c>
      <c r="Z38" s="6"/>
      <c r="AA38" s="6"/>
    </row>
    <row r="39">
      <c r="A39" s="14">
        <v>2021.0</v>
      </c>
      <c r="B39" s="15" t="s">
        <v>107</v>
      </c>
      <c r="C39" s="15" t="s">
        <v>108</v>
      </c>
      <c r="D39" s="17" t="s">
        <v>109</v>
      </c>
      <c r="E39" s="15" t="s">
        <v>69</v>
      </c>
      <c r="F39" s="15">
        <v>16.0</v>
      </c>
      <c r="G39" s="15">
        <v>2.0</v>
      </c>
      <c r="H39" s="15">
        <v>8.0</v>
      </c>
      <c r="I39" s="15">
        <v>6.0</v>
      </c>
      <c r="J39" s="15">
        <v>4.0</v>
      </c>
      <c r="K39" s="15">
        <v>80.0</v>
      </c>
      <c r="L39" s="15">
        <v>0.0</v>
      </c>
      <c r="M39" s="15">
        <v>0.0</v>
      </c>
      <c r="N39" s="15">
        <v>0.0</v>
      </c>
      <c r="O39" s="15">
        <v>0.0</v>
      </c>
      <c r="P39" s="15">
        <v>0.0</v>
      </c>
      <c r="Q39" s="15">
        <v>18.0</v>
      </c>
      <c r="R39" s="15">
        <v>56.0</v>
      </c>
      <c r="S39" s="15">
        <v>8.35</v>
      </c>
      <c r="T39" s="15">
        <v>27.39</v>
      </c>
      <c r="U39" s="15">
        <v>18.66</v>
      </c>
      <c r="V39" s="15" t="s">
        <v>110</v>
      </c>
      <c r="W39" s="15">
        <v>7.0</v>
      </c>
      <c r="X39" s="15" t="s">
        <v>33</v>
      </c>
      <c r="Y39" s="6" t="str">
        <f t="shared" si="1"/>
        <v>Indian</v>
      </c>
      <c r="Z39" s="6"/>
      <c r="AA39" s="6"/>
    </row>
    <row r="40">
      <c r="A40" s="14">
        <v>2021.0</v>
      </c>
      <c r="B40" s="15" t="s">
        <v>79</v>
      </c>
      <c r="C40" s="15" t="s">
        <v>40</v>
      </c>
      <c r="D40" s="8" t="s">
        <v>41</v>
      </c>
      <c r="E40" s="15" t="s">
        <v>69</v>
      </c>
      <c r="F40" s="15">
        <v>15.0</v>
      </c>
      <c r="G40" s="15">
        <v>6.0</v>
      </c>
      <c r="H40" s="15">
        <v>30.0</v>
      </c>
      <c r="I40" s="15">
        <v>22.0</v>
      </c>
      <c r="J40" s="15">
        <v>7.5</v>
      </c>
      <c r="K40" s="15">
        <v>107.14</v>
      </c>
      <c r="L40" s="15">
        <v>2.0</v>
      </c>
      <c r="M40" s="15">
        <v>2.0</v>
      </c>
      <c r="N40" s="15">
        <v>0.0</v>
      </c>
      <c r="O40" s="15">
        <v>0.0</v>
      </c>
      <c r="P40" s="15">
        <v>0.0</v>
      </c>
      <c r="Q40" s="15">
        <v>18.0</v>
      </c>
      <c r="R40" s="15">
        <v>60.0</v>
      </c>
      <c r="S40" s="15">
        <v>5.94</v>
      </c>
      <c r="T40" s="15">
        <v>19.78</v>
      </c>
      <c r="U40" s="15">
        <v>20.0</v>
      </c>
      <c r="V40" s="15" t="s">
        <v>111</v>
      </c>
      <c r="W40" s="15">
        <v>10.0</v>
      </c>
      <c r="X40" s="15" t="s">
        <v>81</v>
      </c>
      <c r="Y40" s="6" t="str">
        <f t="shared" si="1"/>
        <v>Overseas</v>
      </c>
      <c r="Z40" s="6"/>
      <c r="AA40" s="6"/>
    </row>
    <row r="41">
      <c r="A41" s="14">
        <v>2021.0</v>
      </c>
      <c r="B41" s="15" t="s">
        <v>112</v>
      </c>
      <c r="C41" s="15" t="s">
        <v>94</v>
      </c>
      <c r="D41" s="5" t="s">
        <v>95</v>
      </c>
      <c r="E41" s="15" t="s">
        <v>69</v>
      </c>
      <c r="F41" s="15">
        <v>10.0</v>
      </c>
      <c r="G41" s="15">
        <v>1.0</v>
      </c>
      <c r="H41" s="15">
        <v>4.0</v>
      </c>
      <c r="I41" s="15">
        <v>4.0</v>
      </c>
      <c r="J41" s="15">
        <v>4.0</v>
      </c>
      <c r="K41" s="15">
        <v>80.0</v>
      </c>
      <c r="L41" s="15">
        <v>0.0</v>
      </c>
      <c r="M41" s="15">
        <v>0.0</v>
      </c>
      <c r="N41" s="15">
        <v>0.0</v>
      </c>
      <c r="O41" s="15">
        <v>0.0</v>
      </c>
      <c r="P41" s="15">
        <v>0.0</v>
      </c>
      <c r="Q41" s="15">
        <v>18.0</v>
      </c>
      <c r="R41" s="15">
        <v>36.0</v>
      </c>
      <c r="S41" s="15">
        <v>8.78</v>
      </c>
      <c r="T41" s="15">
        <v>24.44</v>
      </c>
      <c r="U41" s="15">
        <v>17.33</v>
      </c>
      <c r="V41" s="15" t="s">
        <v>113</v>
      </c>
      <c r="W41" s="15">
        <v>2.0</v>
      </c>
      <c r="X41" s="15" t="s">
        <v>33</v>
      </c>
      <c r="Y41" s="6" t="str">
        <f t="shared" si="1"/>
        <v>Indian</v>
      </c>
      <c r="Z41" s="6"/>
      <c r="AA41" s="6"/>
    </row>
    <row r="42">
      <c r="A42" s="14">
        <v>2021.0</v>
      </c>
      <c r="B42" s="15" t="s">
        <v>82</v>
      </c>
      <c r="C42" s="15" t="s">
        <v>94</v>
      </c>
      <c r="D42" s="5" t="s">
        <v>95</v>
      </c>
      <c r="E42" s="15" t="s">
        <v>69</v>
      </c>
      <c r="F42" s="15">
        <v>14.0</v>
      </c>
      <c r="G42" s="15">
        <v>1.0</v>
      </c>
      <c r="H42" s="15">
        <v>5.0</v>
      </c>
      <c r="I42" s="15">
        <v>5.0</v>
      </c>
      <c r="J42" s="15">
        <v>5.0</v>
      </c>
      <c r="K42" s="15">
        <v>100.0</v>
      </c>
      <c r="L42" s="15">
        <v>0.0</v>
      </c>
      <c r="M42" s="15">
        <v>0.0</v>
      </c>
      <c r="N42" s="15">
        <v>0.0</v>
      </c>
      <c r="O42" s="15">
        <v>0.0</v>
      </c>
      <c r="P42" s="15">
        <v>0.0</v>
      </c>
      <c r="Q42" s="15">
        <v>19.0</v>
      </c>
      <c r="R42" s="15">
        <v>52.0</v>
      </c>
      <c r="S42" s="15">
        <v>8.12</v>
      </c>
      <c r="T42" s="15">
        <v>22.21</v>
      </c>
      <c r="U42" s="15">
        <v>16.42</v>
      </c>
      <c r="V42" s="15" t="s">
        <v>74</v>
      </c>
      <c r="W42" s="15">
        <v>3.0</v>
      </c>
      <c r="X42" s="15" t="s">
        <v>33</v>
      </c>
      <c r="Y42" s="6" t="str">
        <f t="shared" si="1"/>
        <v>Indian</v>
      </c>
      <c r="Z42" s="6"/>
      <c r="AA42" s="6"/>
    </row>
    <row r="43">
      <c r="A43" s="14">
        <v>2021.0</v>
      </c>
      <c r="B43" s="15" t="s">
        <v>114</v>
      </c>
      <c r="C43" s="15" t="s">
        <v>108</v>
      </c>
      <c r="D43" s="17" t="s">
        <v>109</v>
      </c>
      <c r="E43" s="15" t="s">
        <v>63</v>
      </c>
      <c r="F43" s="15">
        <v>16.0</v>
      </c>
      <c r="G43" s="15">
        <v>11.0</v>
      </c>
      <c r="H43" s="15">
        <v>164.0</v>
      </c>
      <c r="I43" s="15">
        <v>47.0</v>
      </c>
      <c r="J43" s="15">
        <v>18.22</v>
      </c>
      <c r="K43" s="15">
        <v>163.16</v>
      </c>
      <c r="L43" s="15">
        <v>12.0</v>
      </c>
      <c r="M43" s="15">
        <v>14.0</v>
      </c>
      <c r="N43" s="15">
        <v>0.0</v>
      </c>
      <c r="O43" s="15">
        <v>0.0</v>
      </c>
      <c r="P43" s="15">
        <v>2.0</v>
      </c>
      <c r="Q43" s="15">
        <v>21.0</v>
      </c>
      <c r="R43" s="15">
        <v>60.0</v>
      </c>
      <c r="S43" s="15">
        <v>6.22</v>
      </c>
      <c r="T43" s="15">
        <v>17.28</v>
      </c>
      <c r="U43" s="15">
        <v>17.14</v>
      </c>
      <c r="V43" s="15" t="s">
        <v>115</v>
      </c>
      <c r="W43" s="15">
        <v>10.0</v>
      </c>
      <c r="X43" s="15" t="s">
        <v>67</v>
      </c>
      <c r="Y43" s="6" t="str">
        <f t="shared" si="1"/>
        <v>Overseas</v>
      </c>
      <c r="Z43" s="6"/>
      <c r="AA43" s="6"/>
    </row>
    <row r="44">
      <c r="A44" s="14">
        <v>2021.0</v>
      </c>
      <c r="B44" s="15" t="s">
        <v>116</v>
      </c>
      <c r="C44" s="15" t="s">
        <v>54</v>
      </c>
      <c r="D44" s="12" t="s">
        <v>55</v>
      </c>
      <c r="E44" s="15" t="s">
        <v>30</v>
      </c>
      <c r="F44" s="15">
        <v>16.0</v>
      </c>
      <c r="G44" s="15">
        <v>7.0</v>
      </c>
      <c r="H44" s="15">
        <v>114.0</v>
      </c>
      <c r="I44" s="15" t="s">
        <v>117</v>
      </c>
      <c r="J44" s="15">
        <v>38.0</v>
      </c>
      <c r="K44" s="15">
        <v>131.03</v>
      </c>
      <c r="L44" s="15">
        <v>6.0</v>
      </c>
      <c r="M44" s="15">
        <v>8.0</v>
      </c>
      <c r="N44" s="15">
        <v>0.0</v>
      </c>
      <c r="O44" s="15">
        <v>0.0</v>
      </c>
      <c r="P44" s="15">
        <v>7.0</v>
      </c>
      <c r="Q44" s="15">
        <v>0.0</v>
      </c>
      <c r="R44" s="15">
        <v>0.0</v>
      </c>
      <c r="S44" s="15">
        <v>0.0</v>
      </c>
      <c r="T44" s="15">
        <v>0.0</v>
      </c>
      <c r="U44" s="15">
        <v>0.0</v>
      </c>
      <c r="V44" s="15" t="s">
        <v>32</v>
      </c>
      <c r="W44" s="15">
        <v>9.0</v>
      </c>
      <c r="X44" s="15" t="s">
        <v>33</v>
      </c>
      <c r="Y44" s="6" t="str">
        <f t="shared" si="1"/>
        <v>Indian</v>
      </c>
      <c r="Z44" s="6"/>
      <c r="AA44" s="6"/>
    </row>
    <row r="45">
      <c r="A45" s="14">
        <v>2021.0</v>
      </c>
      <c r="B45" s="15" t="s">
        <v>61</v>
      </c>
      <c r="C45" s="16" t="s">
        <v>49</v>
      </c>
      <c r="D45" s="11" t="s">
        <v>50</v>
      </c>
      <c r="E45" s="15" t="s">
        <v>37</v>
      </c>
      <c r="F45" s="15">
        <v>14.0</v>
      </c>
      <c r="G45" s="15">
        <v>14.0</v>
      </c>
      <c r="H45" s="15">
        <v>392.0</v>
      </c>
      <c r="I45" s="15">
        <v>101.0</v>
      </c>
      <c r="J45" s="15">
        <v>30.15</v>
      </c>
      <c r="K45" s="15">
        <v>129.37</v>
      </c>
      <c r="L45" s="15">
        <v>40.0</v>
      </c>
      <c r="M45" s="15">
        <v>10.0</v>
      </c>
      <c r="N45" s="15">
        <v>1.0</v>
      </c>
      <c r="O45" s="15">
        <v>1.0</v>
      </c>
      <c r="P45" s="15">
        <v>1.0</v>
      </c>
      <c r="Q45" s="15">
        <v>0.0</v>
      </c>
      <c r="R45" s="15">
        <v>0.0</v>
      </c>
      <c r="S45" s="15">
        <v>0.0</v>
      </c>
      <c r="T45" s="15">
        <v>0.0</v>
      </c>
      <c r="U45" s="15">
        <v>0.0</v>
      </c>
      <c r="V45" s="15" t="s">
        <v>32</v>
      </c>
      <c r="W45" s="15">
        <v>6.0</v>
      </c>
      <c r="X45" s="15" t="s">
        <v>33</v>
      </c>
      <c r="Y45" s="6" t="str">
        <f t="shared" si="1"/>
        <v>Indian</v>
      </c>
      <c r="Z45" s="6"/>
      <c r="AA45" s="6"/>
    </row>
    <row r="46">
      <c r="A46" s="14">
        <v>2021.0</v>
      </c>
      <c r="B46" s="15" t="s">
        <v>118</v>
      </c>
      <c r="C46" s="15" t="s">
        <v>108</v>
      </c>
      <c r="D46" s="17" t="s">
        <v>109</v>
      </c>
      <c r="E46" s="15" t="s">
        <v>63</v>
      </c>
      <c r="F46" s="15">
        <v>10.0</v>
      </c>
      <c r="G46" s="15">
        <v>10.0</v>
      </c>
      <c r="H46" s="15">
        <v>370.0</v>
      </c>
      <c r="I46" s="15" t="s">
        <v>119</v>
      </c>
      <c r="J46" s="15">
        <v>41.11</v>
      </c>
      <c r="K46" s="15">
        <v>143.97</v>
      </c>
      <c r="L46" s="15">
        <v>34.0</v>
      </c>
      <c r="M46" s="15">
        <v>16.0</v>
      </c>
      <c r="N46" s="15">
        <v>3.0</v>
      </c>
      <c r="O46" s="15">
        <v>0.0</v>
      </c>
      <c r="P46" s="15">
        <v>2.0</v>
      </c>
      <c r="Q46" s="15">
        <v>4.0</v>
      </c>
      <c r="R46" s="15">
        <v>14.0</v>
      </c>
      <c r="S46" s="15">
        <v>9.21</v>
      </c>
      <c r="T46" s="15">
        <v>32.25</v>
      </c>
      <c r="U46" s="15">
        <v>21.0</v>
      </c>
      <c r="V46" s="15" t="s">
        <v>90</v>
      </c>
      <c r="W46" s="15">
        <v>5.0</v>
      </c>
      <c r="X46" s="15" t="s">
        <v>33</v>
      </c>
      <c r="Y46" s="6" t="str">
        <f t="shared" si="1"/>
        <v>Indian</v>
      </c>
      <c r="Z46" s="6"/>
      <c r="AA46" s="6"/>
    </row>
    <row r="47">
      <c r="A47" s="18">
        <v>2022.0</v>
      </c>
      <c r="B47" s="19" t="s">
        <v>120</v>
      </c>
      <c r="C47" s="19" t="s">
        <v>59</v>
      </c>
      <c r="D47" s="13" t="s">
        <v>60</v>
      </c>
      <c r="E47" s="19" t="s">
        <v>30</v>
      </c>
      <c r="F47" s="19">
        <v>17.0</v>
      </c>
      <c r="G47" s="19">
        <v>17.0</v>
      </c>
      <c r="H47" s="19">
        <v>863.0</v>
      </c>
      <c r="I47" s="19" t="s">
        <v>121</v>
      </c>
      <c r="J47" s="19">
        <v>57.53</v>
      </c>
      <c r="K47" s="19">
        <v>149.05</v>
      </c>
      <c r="L47" s="19">
        <v>83.0</v>
      </c>
      <c r="M47" s="19">
        <v>45.0</v>
      </c>
      <c r="N47" s="19">
        <v>4.0</v>
      </c>
      <c r="O47" s="19">
        <v>4.0</v>
      </c>
      <c r="P47" s="19">
        <v>3.0</v>
      </c>
      <c r="Q47" s="19">
        <v>0.0</v>
      </c>
      <c r="R47" s="19">
        <v>0.0</v>
      </c>
      <c r="S47" s="19">
        <v>0.0</v>
      </c>
      <c r="T47" s="19">
        <v>0.0</v>
      </c>
      <c r="U47" s="19">
        <v>0.0</v>
      </c>
      <c r="V47" s="19" t="s">
        <v>32</v>
      </c>
      <c r="W47" s="19">
        <v>11.0</v>
      </c>
      <c r="X47" s="19" t="s">
        <v>91</v>
      </c>
      <c r="Y47" s="6" t="str">
        <f t="shared" si="1"/>
        <v>Overseas</v>
      </c>
      <c r="Z47" s="6"/>
      <c r="AA47" s="6"/>
    </row>
    <row r="48">
      <c r="A48" s="18">
        <v>2022.0</v>
      </c>
      <c r="B48" s="19" t="s">
        <v>27</v>
      </c>
      <c r="C48" s="19" t="s">
        <v>122</v>
      </c>
      <c r="D48" s="20" t="s">
        <v>123</v>
      </c>
      <c r="E48" s="19" t="s">
        <v>30</v>
      </c>
      <c r="F48" s="19">
        <v>15.0</v>
      </c>
      <c r="G48" s="19">
        <v>15.0</v>
      </c>
      <c r="H48" s="19">
        <v>616.0</v>
      </c>
      <c r="I48" s="19" t="s">
        <v>124</v>
      </c>
      <c r="J48" s="19">
        <v>51.33</v>
      </c>
      <c r="K48" s="19">
        <v>135.68</v>
      </c>
      <c r="L48" s="19">
        <v>60.0</v>
      </c>
      <c r="M48" s="19">
        <v>18.0</v>
      </c>
      <c r="N48" s="19">
        <v>4.0</v>
      </c>
      <c r="O48" s="19">
        <v>2.0</v>
      </c>
      <c r="P48" s="19">
        <v>3.0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9" t="s">
        <v>32</v>
      </c>
      <c r="W48" s="19">
        <v>9.0</v>
      </c>
      <c r="X48" s="19" t="s">
        <v>33</v>
      </c>
      <c r="Y48" s="6" t="str">
        <f t="shared" si="1"/>
        <v>Indian</v>
      </c>
      <c r="Z48" s="6"/>
      <c r="AA48" s="6"/>
    </row>
    <row r="49">
      <c r="A49" s="18">
        <v>2022.0</v>
      </c>
      <c r="B49" s="19" t="s">
        <v>43</v>
      </c>
      <c r="C49" s="19" t="s">
        <v>122</v>
      </c>
      <c r="D49" s="20" t="s">
        <v>123</v>
      </c>
      <c r="E49" s="19" t="s">
        <v>30</v>
      </c>
      <c r="F49" s="19">
        <v>16.0</v>
      </c>
      <c r="G49" s="19">
        <v>16.0</v>
      </c>
      <c r="H49" s="19">
        <v>508.0</v>
      </c>
      <c r="I49" s="19" t="s">
        <v>125</v>
      </c>
      <c r="J49" s="19">
        <v>33.87</v>
      </c>
      <c r="K49" s="19">
        <v>153.77</v>
      </c>
      <c r="L49" s="19">
        <v>44.0</v>
      </c>
      <c r="M49" s="19">
        <v>24.0</v>
      </c>
      <c r="N49" s="19">
        <v>3.0</v>
      </c>
      <c r="O49" s="19">
        <v>1.0</v>
      </c>
      <c r="P49" s="19">
        <v>1.0</v>
      </c>
      <c r="Q49" s="19">
        <v>0.0</v>
      </c>
      <c r="R49" s="19">
        <v>0.0</v>
      </c>
      <c r="S49" s="19">
        <v>0.0</v>
      </c>
      <c r="T49" s="19">
        <v>0.0</v>
      </c>
      <c r="U49" s="19">
        <v>0.0</v>
      </c>
      <c r="V49" s="19" t="s">
        <v>32</v>
      </c>
      <c r="W49" s="19">
        <v>12.0</v>
      </c>
      <c r="X49" s="19" t="s">
        <v>46</v>
      </c>
      <c r="Y49" s="6" t="str">
        <f t="shared" si="1"/>
        <v>Overseas</v>
      </c>
      <c r="Z49" s="6"/>
      <c r="AA49" s="6"/>
    </row>
    <row r="50">
      <c r="A50" s="18">
        <v>2022.0</v>
      </c>
      <c r="B50" s="19" t="s">
        <v>62</v>
      </c>
      <c r="C50" s="19" t="s">
        <v>126</v>
      </c>
      <c r="D50" s="21" t="s">
        <v>127</v>
      </c>
      <c r="E50" s="19" t="s">
        <v>63</v>
      </c>
      <c r="F50" s="19">
        <v>15.0</v>
      </c>
      <c r="G50" s="19">
        <v>13.0</v>
      </c>
      <c r="H50" s="19">
        <v>487.0</v>
      </c>
      <c r="I50" s="19" t="s">
        <v>56</v>
      </c>
      <c r="J50" s="19">
        <v>44.27</v>
      </c>
      <c r="K50" s="19">
        <v>131.27</v>
      </c>
      <c r="L50" s="19">
        <v>34.0</v>
      </c>
      <c r="M50" s="19">
        <v>28.0</v>
      </c>
      <c r="N50" s="19">
        <v>3.0</v>
      </c>
      <c r="O50" s="19">
        <v>0.0</v>
      </c>
      <c r="P50" s="19">
        <v>5.0</v>
      </c>
      <c r="Q50" s="19">
        <v>8.0</v>
      </c>
      <c r="R50" s="19">
        <v>30.0</v>
      </c>
      <c r="S50" s="19">
        <v>9.56</v>
      </c>
      <c r="T50" s="19">
        <v>35.75</v>
      </c>
      <c r="U50" s="19">
        <v>22.5</v>
      </c>
      <c r="V50" s="19" t="s">
        <v>128</v>
      </c>
      <c r="W50" s="19">
        <v>7.0</v>
      </c>
      <c r="X50" s="19" t="s">
        <v>33</v>
      </c>
      <c r="Y50" s="6" t="str">
        <f t="shared" si="1"/>
        <v>Indian</v>
      </c>
      <c r="Z50" s="6"/>
      <c r="AA50" s="6"/>
    </row>
    <row r="51">
      <c r="A51" s="18">
        <v>2022.0</v>
      </c>
      <c r="B51" s="19" t="s">
        <v>129</v>
      </c>
      <c r="C51" s="19" t="s">
        <v>126</v>
      </c>
      <c r="D51" s="21" t="s">
        <v>127</v>
      </c>
      <c r="E51" s="19" t="s">
        <v>37</v>
      </c>
      <c r="F51" s="19">
        <v>16.0</v>
      </c>
      <c r="G51" s="19">
        <v>16.0</v>
      </c>
      <c r="H51" s="19">
        <v>483.0</v>
      </c>
      <c r="I51" s="19" t="s">
        <v>130</v>
      </c>
      <c r="J51" s="19">
        <v>35.07</v>
      </c>
      <c r="K51" s="19">
        <v>133.97</v>
      </c>
      <c r="L51" s="19">
        <v>44.0</v>
      </c>
      <c r="M51" s="19">
        <v>12.0</v>
      </c>
      <c r="N51" s="19">
        <v>4.0</v>
      </c>
      <c r="O51" s="19">
        <v>0.0</v>
      </c>
      <c r="P51" s="19">
        <v>3.0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 t="s">
        <v>32</v>
      </c>
      <c r="W51" s="19">
        <v>10.0</v>
      </c>
      <c r="X51" s="19" t="s">
        <v>33</v>
      </c>
      <c r="Y51" s="6" t="str">
        <f t="shared" si="1"/>
        <v>Indian</v>
      </c>
      <c r="Z51" s="6"/>
      <c r="AA51" s="6"/>
    </row>
    <row r="52">
      <c r="A52" s="18">
        <v>2022.0</v>
      </c>
      <c r="B52" s="19" t="s">
        <v>131</v>
      </c>
      <c r="C52" s="19" t="s">
        <v>108</v>
      </c>
      <c r="D52" s="17" t="s">
        <v>109</v>
      </c>
      <c r="E52" s="19" t="s">
        <v>37</v>
      </c>
      <c r="F52" s="19">
        <v>14.0</v>
      </c>
      <c r="G52" s="19">
        <v>14.0</v>
      </c>
      <c r="H52" s="19">
        <v>401.0</v>
      </c>
      <c r="I52" s="19">
        <v>85.0</v>
      </c>
      <c r="J52" s="19">
        <v>34.18</v>
      </c>
      <c r="K52" s="19">
        <v>139.65</v>
      </c>
      <c r="L52" s="19">
        <v>34.0</v>
      </c>
      <c r="M52" s="19">
        <v>14.0</v>
      </c>
      <c r="N52" s="19">
        <v>3.0</v>
      </c>
      <c r="O52" s="19">
        <v>0.0</v>
      </c>
      <c r="P52" s="19">
        <v>2.0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 t="s">
        <v>32</v>
      </c>
      <c r="W52" s="19">
        <v>6.0</v>
      </c>
      <c r="X52" s="19" t="s">
        <v>33</v>
      </c>
      <c r="Y52" s="6" t="str">
        <f t="shared" si="1"/>
        <v>Indian</v>
      </c>
      <c r="Z52" s="6"/>
      <c r="AA52" s="6"/>
    </row>
    <row r="53">
      <c r="A53" s="18">
        <v>2022.0</v>
      </c>
      <c r="B53" s="19" t="s">
        <v>132</v>
      </c>
      <c r="C53" s="19" t="s">
        <v>126</v>
      </c>
      <c r="D53" s="21" t="s">
        <v>127</v>
      </c>
      <c r="E53" s="19" t="s">
        <v>37</v>
      </c>
      <c r="F53" s="19">
        <v>16.0</v>
      </c>
      <c r="G53" s="19">
        <v>12.0</v>
      </c>
      <c r="H53" s="19">
        <v>481.0</v>
      </c>
      <c r="I53" s="19" t="s">
        <v>133</v>
      </c>
      <c r="J53" s="19">
        <v>68.71</v>
      </c>
      <c r="K53" s="19">
        <v>142.47</v>
      </c>
      <c r="L53" s="19">
        <v>36.0</v>
      </c>
      <c r="M53" s="19">
        <v>24.0</v>
      </c>
      <c r="N53" s="19">
        <v>4.0</v>
      </c>
      <c r="O53" s="19">
        <v>0.0</v>
      </c>
      <c r="P53" s="19">
        <v>6.0</v>
      </c>
      <c r="Q53" s="19">
        <v>0.0</v>
      </c>
      <c r="R53" s="19">
        <v>0.0</v>
      </c>
      <c r="S53" s="19">
        <v>0.0</v>
      </c>
      <c r="T53" s="19">
        <v>0.0</v>
      </c>
      <c r="U53" s="19">
        <v>0.0</v>
      </c>
      <c r="V53" s="19" t="s">
        <v>32</v>
      </c>
      <c r="W53" s="19">
        <v>5.0</v>
      </c>
      <c r="X53" s="19" t="s">
        <v>46</v>
      </c>
      <c r="Y53" s="6" t="str">
        <f t="shared" si="1"/>
        <v>Overseas</v>
      </c>
      <c r="Z53" s="6"/>
      <c r="AA53" s="6"/>
    </row>
    <row r="54">
      <c r="A54" s="18">
        <v>2022.0</v>
      </c>
      <c r="B54" s="19" t="s">
        <v>134</v>
      </c>
      <c r="C54" s="19" t="s">
        <v>94</v>
      </c>
      <c r="D54" s="5" t="s">
        <v>95</v>
      </c>
      <c r="E54" s="19" t="s">
        <v>63</v>
      </c>
      <c r="F54" s="19">
        <v>14.0</v>
      </c>
      <c r="G54" s="19">
        <v>14.0</v>
      </c>
      <c r="H54" s="19">
        <v>437.0</v>
      </c>
      <c r="I54" s="19" t="s">
        <v>135</v>
      </c>
      <c r="J54" s="19">
        <v>33.61</v>
      </c>
      <c r="K54" s="19">
        <v>182.43</v>
      </c>
      <c r="L54" s="19">
        <v>34.0</v>
      </c>
      <c r="M54" s="19">
        <v>30.0</v>
      </c>
      <c r="N54" s="19">
        <v>2.0</v>
      </c>
      <c r="O54" s="19">
        <v>1.0</v>
      </c>
      <c r="P54" s="19">
        <v>0.0</v>
      </c>
      <c r="Q54" s="19">
        <v>5.0</v>
      </c>
      <c r="R54" s="19">
        <v>20.0</v>
      </c>
      <c r="S54" s="19">
        <v>10.45</v>
      </c>
      <c r="T54" s="19">
        <v>41.8</v>
      </c>
      <c r="U54" s="19">
        <v>24.0</v>
      </c>
      <c r="V54" s="19" t="s">
        <v>136</v>
      </c>
      <c r="W54" s="19">
        <v>5.0</v>
      </c>
      <c r="X54" s="19" t="s">
        <v>91</v>
      </c>
      <c r="Y54" s="6" t="str">
        <f t="shared" si="1"/>
        <v>Overseas</v>
      </c>
      <c r="Z54" s="6"/>
      <c r="AA54" s="6"/>
    </row>
    <row r="55">
      <c r="A55" s="18">
        <v>2022.0</v>
      </c>
      <c r="B55" s="19" t="s">
        <v>137</v>
      </c>
      <c r="C55" s="22" t="s">
        <v>49</v>
      </c>
      <c r="D55" s="11" t="s">
        <v>50</v>
      </c>
      <c r="E55" s="19" t="s">
        <v>30</v>
      </c>
      <c r="F55" s="19">
        <v>16.0</v>
      </c>
      <c r="G55" s="19">
        <v>10.0</v>
      </c>
      <c r="H55" s="19">
        <v>330.0</v>
      </c>
      <c r="I55" s="19" t="s">
        <v>138</v>
      </c>
      <c r="J55" s="19">
        <v>66.0</v>
      </c>
      <c r="K55" s="19">
        <v>183.33</v>
      </c>
      <c r="L55" s="19">
        <v>18.0</v>
      </c>
      <c r="M55" s="19">
        <v>28.0</v>
      </c>
      <c r="N55" s="19">
        <v>3.0</v>
      </c>
      <c r="O55" s="19">
        <v>0.0</v>
      </c>
      <c r="P55" s="19">
        <v>7.0</v>
      </c>
      <c r="Q55" s="19">
        <v>0.0</v>
      </c>
      <c r="R55" s="19">
        <v>0.0</v>
      </c>
      <c r="S55" s="19">
        <v>0.0</v>
      </c>
      <c r="T55" s="19">
        <v>0.0</v>
      </c>
      <c r="U55" s="19">
        <v>0.0</v>
      </c>
      <c r="V55" s="19" t="s">
        <v>32</v>
      </c>
      <c r="W55" s="19">
        <v>12.0</v>
      </c>
      <c r="X55" s="19" t="s">
        <v>33</v>
      </c>
      <c r="Y55" s="6" t="str">
        <f t="shared" si="1"/>
        <v>Indian</v>
      </c>
      <c r="Z55" s="6"/>
      <c r="AA55" s="6"/>
    </row>
    <row r="56">
      <c r="A56" s="18">
        <v>2022.0</v>
      </c>
      <c r="B56" s="19" t="s">
        <v>53</v>
      </c>
      <c r="C56" s="22" t="s">
        <v>49</v>
      </c>
      <c r="D56" s="11" t="s">
        <v>50</v>
      </c>
      <c r="E56" s="19" t="s">
        <v>37</v>
      </c>
      <c r="F56" s="19">
        <v>16.0</v>
      </c>
      <c r="G56" s="19">
        <v>16.0</v>
      </c>
      <c r="H56" s="19">
        <v>468.0</v>
      </c>
      <c r="I56" s="19">
        <v>96.0</v>
      </c>
      <c r="J56" s="19">
        <v>31.2</v>
      </c>
      <c r="K56" s="19">
        <v>143.11</v>
      </c>
      <c r="L56" s="19">
        <v>50.0</v>
      </c>
      <c r="M56" s="19">
        <v>18.0</v>
      </c>
      <c r="N56" s="19">
        <v>4.0</v>
      </c>
      <c r="O56" s="19">
        <v>0.0</v>
      </c>
      <c r="P56" s="19">
        <v>1.0</v>
      </c>
      <c r="Q56" s="19">
        <v>0.0</v>
      </c>
      <c r="R56" s="19">
        <v>0.0</v>
      </c>
      <c r="S56" s="19">
        <v>0.0</v>
      </c>
      <c r="T56" s="19">
        <v>0.0</v>
      </c>
      <c r="U56" s="19">
        <v>0.0</v>
      </c>
      <c r="V56" s="19" t="s">
        <v>32</v>
      </c>
      <c r="W56" s="19">
        <v>9.0</v>
      </c>
      <c r="X56" s="19" t="s">
        <v>46</v>
      </c>
      <c r="Y56" s="6" t="str">
        <f t="shared" si="1"/>
        <v>Overseas</v>
      </c>
      <c r="Z56" s="6"/>
      <c r="AA56" s="6"/>
    </row>
    <row r="57">
      <c r="A57" s="18">
        <v>2022.0</v>
      </c>
      <c r="B57" s="19" t="s">
        <v>77</v>
      </c>
      <c r="C57" s="19" t="s">
        <v>59</v>
      </c>
      <c r="D57" s="13" t="s">
        <v>60</v>
      </c>
      <c r="E57" s="19" t="s">
        <v>69</v>
      </c>
      <c r="F57" s="19">
        <v>17.0</v>
      </c>
      <c r="G57" s="19">
        <v>3.0</v>
      </c>
      <c r="H57" s="19">
        <v>18.0</v>
      </c>
      <c r="I57" s="19">
        <v>12.0</v>
      </c>
      <c r="J57" s="19">
        <v>6.0</v>
      </c>
      <c r="K57" s="19">
        <v>90.0</v>
      </c>
      <c r="L57" s="19">
        <v>0.0</v>
      </c>
      <c r="M57" s="19">
        <v>1.0</v>
      </c>
      <c r="N57" s="19">
        <v>0.0</v>
      </c>
      <c r="O57" s="19">
        <v>0.0</v>
      </c>
      <c r="P57" s="19">
        <v>0.0</v>
      </c>
      <c r="Q57" s="19">
        <v>27.0</v>
      </c>
      <c r="R57" s="19">
        <v>66.0</v>
      </c>
      <c r="S57" s="19">
        <v>7.75</v>
      </c>
      <c r="T57" s="19">
        <v>19.11</v>
      </c>
      <c r="U57" s="19">
        <v>14.66</v>
      </c>
      <c r="V57" s="19" t="s">
        <v>139</v>
      </c>
      <c r="W57" s="19">
        <v>11.0</v>
      </c>
      <c r="X57" s="19" t="s">
        <v>33</v>
      </c>
      <c r="Y57" s="6" t="str">
        <f t="shared" si="1"/>
        <v>Indian</v>
      </c>
      <c r="Z57" s="6"/>
      <c r="AA57" s="6"/>
    </row>
    <row r="58">
      <c r="A58" s="18">
        <v>2022.0</v>
      </c>
      <c r="B58" s="19" t="s">
        <v>140</v>
      </c>
      <c r="C58" s="22" t="s">
        <v>49</v>
      </c>
      <c r="D58" s="11" t="s">
        <v>50</v>
      </c>
      <c r="E58" s="19" t="s">
        <v>63</v>
      </c>
      <c r="F58" s="19">
        <v>16.0</v>
      </c>
      <c r="G58" s="19">
        <v>10.0</v>
      </c>
      <c r="H58" s="19">
        <v>154.0</v>
      </c>
      <c r="I58" s="19">
        <v>37.0</v>
      </c>
      <c r="J58" s="19">
        <v>17.11</v>
      </c>
      <c r="K58" s="19">
        <v>135.08</v>
      </c>
      <c r="L58" s="19">
        <v>12.0</v>
      </c>
      <c r="M58" s="19">
        <v>8.0</v>
      </c>
      <c r="N58" s="19">
        <v>0.0</v>
      </c>
      <c r="O58" s="19">
        <v>0.0</v>
      </c>
      <c r="P58" s="19">
        <v>1.0</v>
      </c>
      <c r="Q58" s="19">
        <v>26.0</v>
      </c>
      <c r="R58" s="19">
        <v>60.0</v>
      </c>
      <c r="S58" s="19">
        <v>7.54</v>
      </c>
      <c r="T58" s="19">
        <v>17.23</v>
      </c>
      <c r="U58" s="19">
        <v>13.84</v>
      </c>
      <c r="V58" s="19" t="s">
        <v>141</v>
      </c>
      <c r="W58" s="19">
        <v>9.0</v>
      </c>
      <c r="X58" s="19" t="s">
        <v>142</v>
      </c>
      <c r="Y58" s="6" t="str">
        <f t="shared" si="1"/>
        <v>Overseas</v>
      </c>
      <c r="Z58" s="6"/>
      <c r="AA58" s="6"/>
    </row>
    <row r="59">
      <c r="A59" s="18">
        <v>2022.0</v>
      </c>
      <c r="B59" s="19" t="s">
        <v>71</v>
      </c>
      <c r="C59" s="19" t="s">
        <v>94</v>
      </c>
      <c r="D59" s="5" t="s">
        <v>95</v>
      </c>
      <c r="E59" s="19" t="s">
        <v>69</v>
      </c>
      <c r="F59" s="19">
        <v>13.0</v>
      </c>
      <c r="G59" s="19">
        <v>2.0</v>
      </c>
      <c r="H59" s="19">
        <v>12.0</v>
      </c>
      <c r="I59" s="19">
        <v>8.0</v>
      </c>
      <c r="J59" s="19">
        <v>6.0</v>
      </c>
      <c r="K59" s="19">
        <v>80.0</v>
      </c>
      <c r="L59" s="19">
        <v>0.0</v>
      </c>
      <c r="M59" s="19">
        <v>0.0</v>
      </c>
      <c r="N59" s="19">
        <v>0.0</v>
      </c>
      <c r="O59" s="19">
        <v>0.0</v>
      </c>
      <c r="P59" s="19">
        <v>0.0</v>
      </c>
      <c r="Q59" s="19">
        <v>23.0</v>
      </c>
      <c r="R59" s="19">
        <v>50.0</v>
      </c>
      <c r="S59" s="19">
        <v>9.33</v>
      </c>
      <c r="T59" s="19">
        <v>20.3</v>
      </c>
      <c r="U59" s="19">
        <v>13.04</v>
      </c>
      <c r="V59" s="19" t="s">
        <v>143</v>
      </c>
      <c r="W59" s="19">
        <v>3.0</v>
      </c>
      <c r="X59" s="19" t="s">
        <v>46</v>
      </c>
      <c r="Y59" s="6" t="str">
        <f t="shared" si="1"/>
        <v>Overseas</v>
      </c>
      <c r="Z59" s="6"/>
      <c r="AA59" s="6"/>
    </row>
    <row r="60">
      <c r="A60" s="18">
        <v>2022.0</v>
      </c>
      <c r="B60" s="19" t="s">
        <v>144</v>
      </c>
      <c r="C60" s="19" t="s">
        <v>40</v>
      </c>
      <c r="D60" s="8" t="s">
        <v>41</v>
      </c>
      <c r="E60" s="19" t="s">
        <v>69</v>
      </c>
      <c r="F60" s="19">
        <v>14.0</v>
      </c>
      <c r="G60" s="19">
        <v>1.0</v>
      </c>
      <c r="H60" s="19">
        <v>4.0</v>
      </c>
      <c r="I60" s="19">
        <v>4.0</v>
      </c>
      <c r="J60" s="19">
        <v>4.0</v>
      </c>
      <c r="K60" s="19">
        <v>80.0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22.0</v>
      </c>
      <c r="R60" s="19">
        <v>52.0</v>
      </c>
      <c r="S60" s="19">
        <v>9.0</v>
      </c>
      <c r="T60" s="19">
        <v>21.27</v>
      </c>
      <c r="U60" s="19">
        <v>14.18</v>
      </c>
      <c r="V60" s="19" t="s">
        <v>145</v>
      </c>
      <c r="W60" s="19">
        <v>2.0</v>
      </c>
      <c r="X60" s="19" t="s">
        <v>33</v>
      </c>
      <c r="Y60" s="6" t="str">
        <f t="shared" si="1"/>
        <v>Indian</v>
      </c>
      <c r="Z60" s="6"/>
      <c r="AA60" s="6"/>
    </row>
    <row r="61">
      <c r="A61" s="18">
        <v>2022.0</v>
      </c>
      <c r="B61" s="19" t="s">
        <v>146</v>
      </c>
      <c r="C61" s="19" t="s">
        <v>35</v>
      </c>
      <c r="D61" s="7" t="s">
        <v>36</v>
      </c>
      <c r="E61" s="19" t="s">
        <v>69</v>
      </c>
      <c r="F61" s="19">
        <v>14.0</v>
      </c>
      <c r="G61" s="19">
        <v>2.0</v>
      </c>
      <c r="H61" s="19">
        <v>6.0</v>
      </c>
      <c r="I61" s="19">
        <v>4.0</v>
      </c>
      <c r="J61" s="19">
        <v>3.0</v>
      </c>
      <c r="K61" s="19">
        <v>75.0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21.0</v>
      </c>
      <c r="R61" s="19">
        <v>56.0</v>
      </c>
      <c r="S61" s="19">
        <v>8.08</v>
      </c>
      <c r="T61" s="19">
        <v>21.52</v>
      </c>
      <c r="U61" s="19">
        <v>16.0</v>
      </c>
      <c r="V61" s="19" t="s">
        <v>70</v>
      </c>
      <c r="W61" s="19">
        <v>8.0</v>
      </c>
      <c r="X61" s="19" t="s">
        <v>33</v>
      </c>
      <c r="Y61" s="6" t="str">
        <f t="shared" si="1"/>
        <v>Indian</v>
      </c>
      <c r="Z61" s="6"/>
      <c r="AA61" s="6"/>
    </row>
    <row r="62">
      <c r="A62" s="18">
        <v>2022.0</v>
      </c>
      <c r="B62" s="19" t="s">
        <v>82</v>
      </c>
      <c r="C62" s="19" t="s">
        <v>126</v>
      </c>
      <c r="D62" s="21" t="s">
        <v>127</v>
      </c>
      <c r="E62" s="19" t="s">
        <v>69</v>
      </c>
      <c r="F62" s="19">
        <v>14.0</v>
      </c>
      <c r="G62" s="19">
        <v>1.0</v>
      </c>
      <c r="H62" s="19">
        <v>4.0</v>
      </c>
      <c r="I62" s="19">
        <v>4.0</v>
      </c>
      <c r="J62" s="19">
        <v>4.0</v>
      </c>
      <c r="K62" s="19">
        <v>80.0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20.0</v>
      </c>
      <c r="R62" s="19">
        <v>56.0</v>
      </c>
      <c r="S62" s="19">
        <v>8.4</v>
      </c>
      <c r="T62" s="19">
        <v>23.52</v>
      </c>
      <c r="U62" s="19">
        <v>16.8</v>
      </c>
      <c r="V62" s="19" t="s">
        <v>147</v>
      </c>
      <c r="W62" s="19">
        <v>3.0</v>
      </c>
      <c r="X62" s="19" t="s">
        <v>33</v>
      </c>
      <c r="Y62" s="6" t="str">
        <f t="shared" si="1"/>
        <v>Indian</v>
      </c>
      <c r="Z62" s="6"/>
      <c r="AA62" s="6"/>
    </row>
    <row r="63">
      <c r="A63" s="18">
        <v>2022.0</v>
      </c>
      <c r="B63" s="19" t="s">
        <v>98</v>
      </c>
      <c r="C63" s="19" t="s">
        <v>44</v>
      </c>
      <c r="D63" s="9" t="s">
        <v>45</v>
      </c>
      <c r="E63" s="19" t="s">
        <v>37</v>
      </c>
      <c r="F63" s="19">
        <v>12.0</v>
      </c>
      <c r="G63" s="19">
        <v>12.0</v>
      </c>
      <c r="H63" s="19">
        <v>303.0</v>
      </c>
      <c r="I63" s="19">
        <v>68.0</v>
      </c>
      <c r="J63" s="19">
        <v>27.54</v>
      </c>
      <c r="K63" s="19">
        <v>168.88</v>
      </c>
      <c r="L63" s="19">
        <v>26.0</v>
      </c>
      <c r="M63" s="19">
        <v>20.0</v>
      </c>
      <c r="N63" s="19">
        <v>2.0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 t="s">
        <v>32</v>
      </c>
      <c r="W63" s="19">
        <v>5.0</v>
      </c>
      <c r="X63" s="19" t="s">
        <v>33</v>
      </c>
      <c r="Y63" s="6" t="str">
        <f t="shared" si="1"/>
        <v>Indian</v>
      </c>
      <c r="Z63" s="6"/>
      <c r="AA63" s="6"/>
    </row>
    <row r="64">
      <c r="A64" s="18">
        <v>2022.0</v>
      </c>
      <c r="B64" s="19" t="s">
        <v>148</v>
      </c>
      <c r="C64" s="19" t="s">
        <v>44</v>
      </c>
      <c r="D64" s="9" t="s">
        <v>45</v>
      </c>
      <c r="E64" s="19" t="s">
        <v>37</v>
      </c>
      <c r="F64" s="19">
        <v>14.0</v>
      </c>
      <c r="G64" s="19">
        <v>14.0</v>
      </c>
      <c r="H64" s="19">
        <v>397.0</v>
      </c>
      <c r="I64" s="19" t="s">
        <v>149</v>
      </c>
      <c r="J64" s="19">
        <v>44.11</v>
      </c>
      <c r="K64" s="19">
        <v>133.22</v>
      </c>
      <c r="L64" s="19">
        <v>36.0</v>
      </c>
      <c r="M64" s="19">
        <v>12.0</v>
      </c>
      <c r="N64" s="19">
        <v>4.0</v>
      </c>
      <c r="O64" s="19">
        <v>0.0</v>
      </c>
      <c r="P64" s="19">
        <v>5.0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 t="s">
        <v>32</v>
      </c>
      <c r="W64" s="19">
        <v>4.0</v>
      </c>
      <c r="X64" s="19" t="s">
        <v>33</v>
      </c>
      <c r="Y64" s="6" t="str">
        <f t="shared" si="1"/>
        <v>Indian</v>
      </c>
      <c r="Z64" s="6"/>
      <c r="AA64" s="6"/>
    </row>
    <row r="65">
      <c r="A65" s="18">
        <v>2022.0</v>
      </c>
      <c r="B65" s="19" t="s">
        <v>150</v>
      </c>
      <c r="C65" s="22" t="s">
        <v>49</v>
      </c>
      <c r="D65" s="11" t="s">
        <v>50</v>
      </c>
      <c r="E65" s="19" t="s">
        <v>37</v>
      </c>
      <c r="F65" s="19">
        <v>8.0</v>
      </c>
      <c r="G65" s="19">
        <v>8.0</v>
      </c>
      <c r="H65" s="19">
        <v>333.0</v>
      </c>
      <c r="I65" s="19" t="s">
        <v>151</v>
      </c>
      <c r="J65" s="19">
        <v>47.57</v>
      </c>
      <c r="K65" s="19">
        <v>152.97</v>
      </c>
      <c r="L65" s="19">
        <v>34.0</v>
      </c>
      <c r="M65" s="19">
        <v>20.0</v>
      </c>
      <c r="N65" s="19">
        <v>1.0</v>
      </c>
      <c r="O65" s="19">
        <v>1.0</v>
      </c>
      <c r="P65" s="19">
        <v>3.0</v>
      </c>
      <c r="Q65" s="19">
        <v>0.0</v>
      </c>
      <c r="R65" s="19">
        <v>0.0</v>
      </c>
      <c r="S65" s="19">
        <v>0.0</v>
      </c>
      <c r="T65" s="19">
        <v>0.0</v>
      </c>
      <c r="U65" s="19">
        <v>0.0</v>
      </c>
      <c r="V65" s="19" t="s">
        <v>32</v>
      </c>
      <c r="W65" s="19">
        <v>4.0</v>
      </c>
      <c r="X65" s="19" t="s">
        <v>33</v>
      </c>
      <c r="Y65" s="6" t="str">
        <f t="shared" si="1"/>
        <v>Indian</v>
      </c>
      <c r="Z65" s="6"/>
      <c r="AA65" s="6"/>
    </row>
    <row r="66">
      <c r="A66" s="18">
        <v>2022.0</v>
      </c>
      <c r="B66" s="19" t="s">
        <v>79</v>
      </c>
      <c r="C66" s="19" t="s">
        <v>126</v>
      </c>
      <c r="D66" s="21" t="s">
        <v>127</v>
      </c>
      <c r="E66" s="19" t="s">
        <v>69</v>
      </c>
      <c r="F66" s="19">
        <v>17.0</v>
      </c>
      <c r="G66" s="19">
        <v>8.0</v>
      </c>
      <c r="H66" s="19">
        <v>90.0</v>
      </c>
      <c r="I66" s="19">
        <v>34.0</v>
      </c>
      <c r="J66" s="19">
        <v>15.0</v>
      </c>
      <c r="K66" s="19">
        <v>134.32</v>
      </c>
      <c r="L66" s="19">
        <v>8.0</v>
      </c>
      <c r="M66" s="19">
        <v>6.0</v>
      </c>
      <c r="N66" s="19">
        <v>0.0</v>
      </c>
      <c r="O66" s="19">
        <v>0.0</v>
      </c>
      <c r="P66" s="19">
        <v>1.0</v>
      </c>
      <c r="Q66" s="19">
        <v>19.0</v>
      </c>
      <c r="R66" s="19">
        <v>68.0</v>
      </c>
      <c r="S66" s="19">
        <v>6.98</v>
      </c>
      <c r="T66" s="19">
        <v>24.42</v>
      </c>
      <c r="U66" s="19">
        <v>21.47</v>
      </c>
      <c r="V66" s="19" t="s">
        <v>85</v>
      </c>
      <c r="W66" s="19">
        <v>12.0</v>
      </c>
      <c r="X66" s="19" t="s">
        <v>81</v>
      </c>
      <c r="Y66" s="6" t="str">
        <f t="shared" si="1"/>
        <v>Overseas</v>
      </c>
      <c r="Z66" s="6"/>
      <c r="AA66" s="6"/>
    </row>
    <row r="67">
      <c r="A67" s="23">
        <v>2023.0</v>
      </c>
      <c r="B67" s="24" t="s">
        <v>129</v>
      </c>
      <c r="C67" s="24" t="s">
        <v>126</v>
      </c>
      <c r="D67" s="21" t="s">
        <v>127</v>
      </c>
      <c r="E67" s="24" t="s">
        <v>37</v>
      </c>
      <c r="F67" s="24">
        <v>17.0</v>
      </c>
      <c r="G67" s="24">
        <v>17.0</v>
      </c>
      <c r="H67" s="24">
        <v>890.0</v>
      </c>
      <c r="I67" s="24" t="s">
        <v>152</v>
      </c>
      <c r="J67" s="24">
        <v>59.33</v>
      </c>
      <c r="K67" s="24">
        <v>157.7</v>
      </c>
      <c r="L67" s="24">
        <v>80.0</v>
      </c>
      <c r="M67" s="24">
        <v>38.0</v>
      </c>
      <c r="N67" s="24">
        <v>4.0</v>
      </c>
      <c r="O67" s="24">
        <v>3.0</v>
      </c>
      <c r="P67" s="24">
        <v>2.0</v>
      </c>
      <c r="Q67" s="24">
        <v>0.0</v>
      </c>
      <c r="R67" s="24">
        <v>0.0</v>
      </c>
      <c r="S67" s="24">
        <v>0.0</v>
      </c>
      <c r="T67" s="24">
        <v>0.0</v>
      </c>
      <c r="U67" s="24">
        <v>0.0</v>
      </c>
      <c r="V67" s="24" t="s">
        <v>32</v>
      </c>
      <c r="W67" s="24">
        <v>13.0</v>
      </c>
      <c r="X67" s="24" t="s">
        <v>33</v>
      </c>
      <c r="Y67" s="6" t="str">
        <f t="shared" si="1"/>
        <v>Indian</v>
      </c>
      <c r="Z67" s="6"/>
      <c r="AA67" s="6"/>
    </row>
    <row r="68">
      <c r="A68" s="23">
        <v>2023.0</v>
      </c>
      <c r="B68" s="24" t="s">
        <v>53</v>
      </c>
      <c r="C68" s="25" t="s">
        <v>49</v>
      </c>
      <c r="D68" s="11" t="s">
        <v>50</v>
      </c>
      <c r="E68" s="24" t="s">
        <v>37</v>
      </c>
      <c r="F68" s="24">
        <v>14.0</v>
      </c>
      <c r="G68" s="24">
        <v>14.0</v>
      </c>
      <c r="H68" s="24">
        <v>730.0</v>
      </c>
      <c r="I68" s="24">
        <v>84.0</v>
      </c>
      <c r="J68" s="24">
        <v>58.4</v>
      </c>
      <c r="K68" s="24">
        <v>157.24</v>
      </c>
      <c r="L68" s="24">
        <v>68.0</v>
      </c>
      <c r="M68" s="24">
        <v>34.0</v>
      </c>
      <c r="N68" s="24">
        <v>7.0</v>
      </c>
      <c r="O68" s="24">
        <v>0.0</v>
      </c>
      <c r="P68" s="24">
        <v>3.0</v>
      </c>
      <c r="Q68" s="24">
        <v>0.0</v>
      </c>
      <c r="R68" s="24">
        <v>0.0</v>
      </c>
      <c r="S68" s="24">
        <v>0.0</v>
      </c>
      <c r="T68" s="24">
        <v>0.0</v>
      </c>
      <c r="U68" s="24">
        <v>0.0</v>
      </c>
      <c r="V68" s="24" t="s">
        <v>32</v>
      </c>
      <c r="W68" s="24">
        <v>11.0</v>
      </c>
      <c r="X68" s="24" t="s">
        <v>46</v>
      </c>
      <c r="Y68" s="6" t="str">
        <f t="shared" si="1"/>
        <v>Overseas</v>
      </c>
      <c r="Z68" s="6"/>
      <c r="AA68" s="6"/>
    </row>
    <row r="69">
      <c r="A69" s="23">
        <v>2023.0</v>
      </c>
      <c r="B69" s="24" t="s">
        <v>153</v>
      </c>
      <c r="C69" s="24" t="s">
        <v>54</v>
      </c>
      <c r="D69" s="12" t="s">
        <v>55</v>
      </c>
      <c r="E69" s="24" t="s">
        <v>30</v>
      </c>
      <c r="F69" s="24">
        <v>16.0</v>
      </c>
      <c r="G69" s="24">
        <v>16.0</v>
      </c>
      <c r="H69" s="24">
        <v>672.0</v>
      </c>
      <c r="I69" s="24">
        <v>92.0</v>
      </c>
      <c r="J69" s="24">
        <v>48.0</v>
      </c>
      <c r="K69" s="24">
        <v>138.55</v>
      </c>
      <c r="L69" s="24">
        <v>64.0</v>
      </c>
      <c r="M69" s="24">
        <v>18.0</v>
      </c>
      <c r="N69" s="24">
        <v>6.0</v>
      </c>
      <c r="O69" s="24">
        <v>0.0</v>
      </c>
      <c r="P69" s="24">
        <v>2.0</v>
      </c>
      <c r="Q69" s="24">
        <v>0.0</v>
      </c>
      <c r="R69" s="24">
        <v>0.0</v>
      </c>
      <c r="S69" s="24">
        <v>0.0</v>
      </c>
      <c r="T69" s="24">
        <v>0.0</v>
      </c>
      <c r="U69" s="24">
        <v>0.0</v>
      </c>
      <c r="V69" s="24" t="s">
        <v>32</v>
      </c>
      <c r="W69" s="24">
        <v>13.0</v>
      </c>
      <c r="X69" s="24" t="s">
        <v>75</v>
      </c>
      <c r="Y69" s="6" t="str">
        <f t="shared" si="1"/>
        <v>Overseas</v>
      </c>
      <c r="Z69" s="6"/>
      <c r="AA69" s="6"/>
    </row>
    <row r="70">
      <c r="A70" s="23">
        <v>2023.0</v>
      </c>
      <c r="B70" s="24" t="s">
        <v>100</v>
      </c>
      <c r="C70" s="25" t="s">
        <v>49</v>
      </c>
      <c r="D70" s="11" t="s">
        <v>50</v>
      </c>
      <c r="E70" s="24" t="s">
        <v>37</v>
      </c>
      <c r="F70" s="24">
        <v>14.0</v>
      </c>
      <c r="G70" s="24">
        <v>14.0</v>
      </c>
      <c r="H70" s="24">
        <v>639.0</v>
      </c>
      <c r="I70" s="24">
        <v>100.0</v>
      </c>
      <c r="J70" s="24">
        <v>48.03</v>
      </c>
      <c r="K70" s="24">
        <v>139.78</v>
      </c>
      <c r="L70" s="24">
        <v>62.0</v>
      </c>
      <c r="M70" s="24">
        <v>22.0</v>
      </c>
      <c r="N70" s="24">
        <v>6.0</v>
      </c>
      <c r="O70" s="24">
        <v>1.0</v>
      </c>
      <c r="P70" s="24">
        <v>1.0</v>
      </c>
      <c r="Q70" s="24">
        <v>0.0</v>
      </c>
      <c r="R70" s="24">
        <v>0.0</v>
      </c>
      <c r="S70" s="24">
        <v>0.0</v>
      </c>
      <c r="T70" s="24">
        <v>0.0</v>
      </c>
      <c r="U70" s="24">
        <v>0.0</v>
      </c>
      <c r="V70" s="24" t="s">
        <v>32</v>
      </c>
      <c r="W70" s="24">
        <v>12.0</v>
      </c>
      <c r="X70" s="24" t="s">
        <v>33</v>
      </c>
      <c r="Y70" s="6" t="str">
        <f t="shared" si="1"/>
        <v>Indian</v>
      </c>
      <c r="Z70" s="6"/>
      <c r="AA70" s="6"/>
    </row>
    <row r="71">
      <c r="A71" s="23">
        <v>2023.0</v>
      </c>
      <c r="B71" s="24" t="s">
        <v>154</v>
      </c>
      <c r="C71" s="24" t="s">
        <v>59</v>
      </c>
      <c r="D71" s="13" t="s">
        <v>60</v>
      </c>
      <c r="E71" s="24" t="s">
        <v>37</v>
      </c>
      <c r="F71" s="24">
        <v>14.0</v>
      </c>
      <c r="G71" s="24">
        <v>14.0</v>
      </c>
      <c r="H71" s="24">
        <v>625.0</v>
      </c>
      <c r="I71" s="24">
        <v>124.0</v>
      </c>
      <c r="J71" s="24">
        <v>47.07</v>
      </c>
      <c r="K71" s="24">
        <v>163.61</v>
      </c>
      <c r="L71" s="24">
        <v>62.0</v>
      </c>
      <c r="M71" s="24">
        <v>30.0</v>
      </c>
      <c r="N71" s="24">
        <v>5.0</v>
      </c>
      <c r="O71" s="24">
        <v>1.0</v>
      </c>
      <c r="P71" s="24">
        <v>2.0</v>
      </c>
      <c r="Q71" s="24">
        <v>0.0</v>
      </c>
      <c r="R71" s="24">
        <v>0.0</v>
      </c>
      <c r="S71" s="24">
        <v>0.0</v>
      </c>
      <c r="T71" s="24">
        <v>0.0</v>
      </c>
      <c r="U71" s="24">
        <v>0.0</v>
      </c>
      <c r="V71" s="24" t="s">
        <v>32</v>
      </c>
      <c r="W71" s="24">
        <v>6.0</v>
      </c>
      <c r="X71" s="24" t="s">
        <v>33</v>
      </c>
      <c r="Y71" s="6" t="str">
        <f t="shared" si="1"/>
        <v>Indian</v>
      </c>
      <c r="Z71" s="6"/>
      <c r="AA71" s="6"/>
    </row>
    <row r="72">
      <c r="A72" s="23">
        <v>2023.0</v>
      </c>
      <c r="B72" s="24" t="s">
        <v>98</v>
      </c>
      <c r="C72" s="24" t="s">
        <v>44</v>
      </c>
      <c r="D72" s="9" t="s">
        <v>45</v>
      </c>
      <c r="E72" s="24" t="s">
        <v>37</v>
      </c>
      <c r="F72" s="24">
        <v>16.0</v>
      </c>
      <c r="G72" s="24">
        <v>15.0</v>
      </c>
      <c r="H72" s="24">
        <v>605.0</v>
      </c>
      <c r="I72" s="24" t="s">
        <v>155</v>
      </c>
      <c r="J72" s="24">
        <v>55.0</v>
      </c>
      <c r="K72" s="24">
        <v>185.89</v>
      </c>
      <c r="L72" s="24">
        <v>48.0</v>
      </c>
      <c r="M72" s="24">
        <v>40.0</v>
      </c>
      <c r="N72" s="24">
        <v>4.0</v>
      </c>
      <c r="O72" s="24">
        <v>1.0</v>
      </c>
      <c r="P72" s="24">
        <v>4.0</v>
      </c>
      <c r="Q72" s="24">
        <v>0.0</v>
      </c>
      <c r="R72" s="24">
        <v>0.0</v>
      </c>
      <c r="S72" s="24">
        <v>0.0</v>
      </c>
      <c r="T72" s="24">
        <v>0.0</v>
      </c>
      <c r="U72" s="24">
        <v>0.0</v>
      </c>
      <c r="V72" s="24" t="s">
        <v>32</v>
      </c>
      <c r="W72" s="24">
        <v>9.0</v>
      </c>
      <c r="X72" s="24" t="s">
        <v>33</v>
      </c>
      <c r="Y72" s="6" t="str">
        <f t="shared" si="1"/>
        <v>Indian</v>
      </c>
      <c r="Z72" s="6"/>
      <c r="AA72" s="6"/>
    </row>
    <row r="73">
      <c r="A73" s="23">
        <v>2023.0</v>
      </c>
      <c r="B73" s="24" t="s">
        <v>92</v>
      </c>
      <c r="C73" s="24" t="s">
        <v>54</v>
      </c>
      <c r="D73" s="12" t="s">
        <v>55</v>
      </c>
      <c r="E73" s="24" t="s">
        <v>37</v>
      </c>
      <c r="F73" s="24">
        <v>14.0</v>
      </c>
      <c r="G73" s="24">
        <v>14.0</v>
      </c>
      <c r="H73" s="24">
        <v>590.0</v>
      </c>
      <c r="I73" s="24">
        <v>92.0</v>
      </c>
      <c r="J73" s="24">
        <v>44.23</v>
      </c>
      <c r="K73" s="24">
        <v>144.25</v>
      </c>
      <c r="L73" s="24">
        <v>56.0</v>
      </c>
      <c r="M73" s="24">
        <v>20.0</v>
      </c>
      <c r="N73" s="24">
        <v>5.0</v>
      </c>
      <c r="O73" s="24">
        <v>0.0</v>
      </c>
      <c r="P73" s="24">
        <v>1.0</v>
      </c>
      <c r="Q73" s="24">
        <v>0.0</v>
      </c>
      <c r="R73" s="24">
        <v>0.0</v>
      </c>
      <c r="S73" s="24">
        <v>0.0</v>
      </c>
      <c r="T73" s="24">
        <v>0.0</v>
      </c>
      <c r="U73" s="24">
        <v>0.0</v>
      </c>
      <c r="V73" s="24" t="s">
        <v>32</v>
      </c>
      <c r="W73" s="24">
        <v>8.0</v>
      </c>
      <c r="X73" s="24" t="s">
        <v>33</v>
      </c>
      <c r="Y73" s="6" t="str">
        <f t="shared" si="1"/>
        <v>Indian</v>
      </c>
      <c r="Z73" s="6"/>
      <c r="AA73" s="6"/>
    </row>
    <row r="74">
      <c r="A74" s="23">
        <v>2023.0</v>
      </c>
      <c r="B74" s="24" t="s">
        <v>156</v>
      </c>
      <c r="C74" s="24" t="s">
        <v>40</v>
      </c>
      <c r="D74" s="8" t="s">
        <v>41</v>
      </c>
      <c r="E74" s="24" t="s">
        <v>30</v>
      </c>
      <c r="F74" s="24">
        <v>15.0</v>
      </c>
      <c r="G74" s="24">
        <v>14.0</v>
      </c>
      <c r="H74" s="24">
        <v>574.0</v>
      </c>
      <c r="I74" s="24" t="s">
        <v>157</v>
      </c>
      <c r="J74" s="24">
        <v>47.83</v>
      </c>
      <c r="K74" s="24">
        <v>183.92</v>
      </c>
      <c r="L74" s="24">
        <v>38.0</v>
      </c>
      <c r="M74" s="24">
        <v>38.0</v>
      </c>
      <c r="N74" s="24">
        <v>4.0</v>
      </c>
      <c r="O74" s="24">
        <v>1.0</v>
      </c>
      <c r="P74" s="24">
        <v>2.0</v>
      </c>
      <c r="Q74" s="24">
        <v>0.0</v>
      </c>
      <c r="R74" s="24">
        <v>0.0</v>
      </c>
      <c r="S74" s="24">
        <v>0.0</v>
      </c>
      <c r="T74" s="24">
        <v>0.0</v>
      </c>
      <c r="U74" s="24">
        <v>0.0</v>
      </c>
      <c r="V74" s="24" t="s">
        <v>32</v>
      </c>
      <c r="W74" s="24">
        <v>11.0</v>
      </c>
      <c r="X74" s="24" t="s">
        <v>46</v>
      </c>
      <c r="Y74" s="6" t="str">
        <f t="shared" si="1"/>
        <v>Overseas</v>
      </c>
      <c r="Z74" s="6"/>
      <c r="AA74" s="6"/>
    </row>
    <row r="75">
      <c r="A75" s="23">
        <v>2023.0</v>
      </c>
      <c r="B75" s="24" t="s">
        <v>82</v>
      </c>
      <c r="C75" s="24" t="s">
        <v>126</v>
      </c>
      <c r="D75" s="21" t="s">
        <v>127</v>
      </c>
      <c r="E75" s="24" t="s">
        <v>69</v>
      </c>
      <c r="F75" s="24">
        <v>17.0</v>
      </c>
      <c r="G75" s="24">
        <v>2.0</v>
      </c>
      <c r="H75" s="24">
        <v>8.0</v>
      </c>
      <c r="I75" s="24">
        <v>6.0</v>
      </c>
      <c r="J75" s="24">
        <v>4.0</v>
      </c>
      <c r="K75" s="24">
        <v>80.0</v>
      </c>
      <c r="L75" s="24">
        <v>0.0</v>
      </c>
      <c r="M75" s="24">
        <v>0.0</v>
      </c>
      <c r="N75" s="24">
        <v>0.0</v>
      </c>
      <c r="O75" s="24">
        <v>0.0</v>
      </c>
      <c r="P75" s="24">
        <v>0.0</v>
      </c>
      <c r="Q75" s="24">
        <v>28.0</v>
      </c>
      <c r="R75" s="24">
        <v>65.0</v>
      </c>
      <c r="S75" s="24">
        <v>8.03</v>
      </c>
      <c r="T75" s="24">
        <v>19.0</v>
      </c>
      <c r="U75" s="24">
        <v>13.92</v>
      </c>
      <c r="V75" s="24" t="s">
        <v>158</v>
      </c>
      <c r="W75" s="24">
        <v>3.0</v>
      </c>
      <c r="X75" s="24" t="s">
        <v>33</v>
      </c>
      <c r="Y75" s="6" t="str">
        <f t="shared" si="1"/>
        <v>Indian</v>
      </c>
      <c r="Z75" s="6"/>
      <c r="AA75" s="6"/>
    </row>
    <row r="76">
      <c r="A76" s="23">
        <v>2023.0</v>
      </c>
      <c r="B76" s="24" t="s">
        <v>79</v>
      </c>
      <c r="C76" s="24" t="s">
        <v>126</v>
      </c>
      <c r="D76" s="21" t="s">
        <v>127</v>
      </c>
      <c r="E76" s="24" t="s">
        <v>69</v>
      </c>
      <c r="F76" s="24">
        <v>17.0</v>
      </c>
      <c r="G76" s="24">
        <v>8.0</v>
      </c>
      <c r="H76" s="24">
        <v>88.0</v>
      </c>
      <c r="I76" s="24">
        <v>32.0</v>
      </c>
      <c r="J76" s="24">
        <v>14.67</v>
      </c>
      <c r="K76" s="24">
        <v>138.46</v>
      </c>
      <c r="L76" s="24">
        <v>6.0</v>
      </c>
      <c r="M76" s="24">
        <v>6.0</v>
      </c>
      <c r="N76" s="24">
        <v>0.0</v>
      </c>
      <c r="O76" s="24">
        <v>0.0</v>
      </c>
      <c r="P76" s="24">
        <v>1.0</v>
      </c>
      <c r="Q76" s="24">
        <v>27.0</v>
      </c>
      <c r="R76" s="24">
        <v>68.0</v>
      </c>
      <c r="S76" s="24">
        <v>8.43</v>
      </c>
      <c r="T76" s="24">
        <v>21.59</v>
      </c>
      <c r="U76" s="24">
        <v>15.11</v>
      </c>
      <c r="V76" s="24" t="s">
        <v>72</v>
      </c>
      <c r="W76" s="24">
        <v>14.0</v>
      </c>
      <c r="X76" s="24" t="s">
        <v>81</v>
      </c>
      <c r="Y76" s="6" t="str">
        <f t="shared" si="1"/>
        <v>Overseas</v>
      </c>
      <c r="Z76" s="6"/>
      <c r="AA76" s="6"/>
    </row>
    <row r="77">
      <c r="A77" s="23">
        <v>2023.0</v>
      </c>
      <c r="B77" s="24" t="s">
        <v>159</v>
      </c>
      <c r="C77" s="24" t="s">
        <v>126</v>
      </c>
      <c r="D77" s="21" t="s">
        <v>127</v>
      </c>
      <c r="E77" s="24" t="s">
        <v>69</v>
      </c>
      <c r="F77" s="24">
        <v>17.0</v>
      </c>
      <c r="G77" s="24">
        <v>1.0</v>
      </c>
      <c r="H77" s="24">
        <v>3.0</v>
      </c>
      <c r="I77" s="24">
        <v>3.0</v>
      </c>
      <c r="J77" s="24">
        <v>3.0</v>
      </c>
      <c r="K77" s="24">
        <v>75.0</v>
      </c>
      <c r="L77" s="24">
        <v>0.0</v>
      </c>
      <c r="M77" s="24">
        <v>0.0</v>
      </c>
      <c r="N77" s="24">
        <v>0.0</v>
      </c>
      <c r="O77" s="24">
        <v>0.0</v>
      </c>
      <c r="P77" s="24">
        <v>0.0</v>
      </c>
      <c r="Q77" s="24">
        <v>27.0</v>
      </c>
      <c r="R77" s="24">
        <v>66.0</v>
      </c>
      <c r="S77" s="24">
        <v>8.17</v>
      </c>
      <c r="T77" s="24">
        <v>18.96</v>
      </c>
      <c r="U77" s="24">
        <v>14.66</v>
      </c>
      <c r="V77" s="24" t="s">
        <v>160</v>
      </c>
      <c r="W77" s="24">
        <v>2.0</v>
      </c>
      <c r="X77" s="24" t="s">
        <v>33</v>
      </c>
      <c r="Y77" s="6" t="str">
        <f t="shared" si="1"/>
        <v>Indian</v>
      </c>
      <c r="Z77" s="6"/>
      <c r="AA77" s="6"/>
    </row>
    <row r="78">
      <c r="A78" s="23">
        <v>2023.0</v>
      </c>
      <c r="B78" s="24" t="s">
        <v>161</v>
      </c>
      <c r="C78" s="24" t="s">
        <v>44</v>
      </c>
      <c r="D78" s="9" t="s">
        <v>45</v>
      </c>
      <c r="E78" s="24" t="s">
        <v>69</v>
      </c>
      <c r="F78" s="24">
        <v>16.0</v>
      </c>
      <c r="G78" s="24">
        <v>1.0</v>
      </c>
      <c r="H78" s="24">
        <v>2.0</v>
      </c>
      <c r="I78" s="24">
        <v>2.0</v>
      </c>
      <c r="J78" s="24">
        <v>2.0</v>
      </c>
      <c r="K78" s="24">
        <v>66.67</v>
      </c>
      <c r="L78" s="24">
        <v>0.0</v>
      </c>
      <c r="M78" s="24">
        <v>0.0</v>
      </c>
      <c r="N78" s="24">
        <v>0.0</v>
      </c>
      <c r="O78" s="24">
        <v>0.0</v>
      </c>
      <c r="P78" s="24">
        <v>0.0</v>
      </c>
      <c r="Q78" s="24">
        <v>22.0</v>
      </c>
      <c r="R78" s="24">
        <v>60.0</v>
      </c>
      <c r="S78" s="24">
        <v>8.55</v>
      </c>
      <c r="T78" s="24">
        <v>23.27</v>
      </c>
      <c r="U78" s="24">
        <v>16.36</v>
      </c>
      <c r="V78" s="24" t="s">
        <v>65</v>
      </c>
      <c r="W78" s="24">
        <v>6.0</v>
      </c>
      <c r="X78" s="24" t="s">
        <v>33</v>
      </c>
      <c r="Y78" s="6" t="str">
        <f t="shared" si="1"/>
        <v>Indian</v>
      </c>
      <c r="Z78" s="6"/>
      <c r="AA78" s="6"/>
    </row>
    <row r="79">
      <c r="A79" s="23">
        <v>2023.0</v>
      </c>
      <c r="B79" s="24" t="s">
        <v>77</v>
      </c>
      <c r="C79" s="24" t="s">
        <v>59</v>
      </c>
      <c r="D79" s="13" t="s">
        <v>60</v>
      </c>
      <c r="E79" s="24" t="s">
        <v>69</v>
      </c>
      <c r="F79" s="24">
        <v>17.0</v>
      </c>
      <c r="G79" s="24">
        <v>2.0</v>
      </c>
      <c r="H79" s="24">
        <v>8.0</v>
      </c>
      <c r="I79" s="24">
        <v>6.0</v>
      </c>
      <c r="J79" s="24">
        <v>4.0</v>
      </c>
      <c r="K79" s="24">
        <v>80.0</v>
      </c>
      <c r="L79" s="24">
        <v>0.0</v>
      </c>
      <c r="M79" s="24">
        <v>0.0</v>
      </c>
      <c r="N79" s="24">
        <v>0.0</v>
      </c>
      <c r="O79" s="24">
        <v>0.0</v>
      </c>
      <c r="P79" s="24">
        <v>0.0</v>
      </c>
      <c r="Q79" s="24">
        <v>21.0</v>
      </c>
      <c r="R79" s="24">
        <v>64.0</v>
      </c>
      <c r="S79" s="24">
        <v>8.2</v>
      </c>
      <c r="T79" s="24">
        <v>24.95</v>
      </c>
      <c r="U79" s="24">
        <v>18.28</v>
      </c>
      <c r="V79" s="24" t="s">
        <v>83</v>
      </c>
      <c r="W79" s="24">
        <v>9.0</v>
      </c>
      <c r="X79" s="24" t="s">
        <v>33</v>
      </c>
      <c r="Y79" s="6" t="str">
        <f t="shared" si="1"/>
        <v>Indian</v>
      </c>
      <c r="Z79" s="6"/>
      <c r="AA79" s="6"/>
    </row>
    <row r="80">
      <c r="A80" s="23">
        <v>2023.0</v>
      </c>
      <c r="B80" s="24" t="s">
        <v>107</v>
      </c>
      <c r="C80" s="24" t="s">
        <v>108</v>
      </c>
      <c r="D80" s="17" t="s">
        <v>109</v>
      </c>
      <c r="E80" s="24" t="s">
        <v>69</v>
      </c>
      <c r="F80" s="24">
        <v>14.0</v>
      </c>
      <c r="G80" s="24">
        <v>1.0</v>
      </c>
      <c r="H80" s="24">
        <v>4.0</v>
      </c>
      <c r="I80" s="24">
        <v>4.0</v>
      </c>
      <c r="J80" s="24">
        <v>4.0</v>
      </c>
      <c r="K80" s="24">
        <v>80.0</v>
      </c>
      <c r="L80" s="24">
        <v>0.0</v>
      </c>
      <c r="M80" s="24">
        <v>0.0</v>
      </c>
      <c r="N80" s="24">
        <v>0.0</v>
      </c>
      <c r="O80" s="24">
        <v>0.0</v>
      </c>
      <c r="P80" s="24">
        <v>0.0</v>
      </c>
      <c r="Q80" s="24">
        <v>20.0</v>
      </c>
      <c r="R80" s="24">
        <v>56.0</v>
      </c>
      <c r="S80" s="24">
        <v>8.0</v>
      </c>
      <c r="T80" s="24">
        <v>22.4</v>
      </c>
      <c r="U80" s="24">
        <v>16.8</v>
      </c>
      <c r="V80" s="24" t="s">
        <v>162</v>
      </c>
      <c r="W80" s="24">
        <v>7.0</v>
      </c>
      <c r="X80" s="24" t="s">
        <v>33</v>
      </c>
      <c r="Y80" s="6" t="str">
        <f t="shared" si="1"/>
        <v>Indian</v>
      </c>
      <c r="Z80" s="6"/>
      <c r="AA80" s="6"/>
    </row>
    <row r="81">
      <c r="A81" s="23">
        <v>2023.0</v>
      </c>
      <c r="B81" s="24" t="s">
        <v>163</v>
      </c>
      <c r="C81" s="24" t="s">
        <v>54</v>
      </c>
      <c r="D81" s="12" t="s">
        <v>55</v>
      </c>
      <c r="E81" s="24" t="s">
        <v>69</v>
      </c>
      <c r="F81" s="24">
        <v>16.0</v>
      </c>
      <c r="G81" s="24">
        <v>1.0</v>
      </c>
      <c r="H81" s="24">
        <v>2.0</v>
      </c>
      <c r="I81" s="24">
        <v>2.0</v>
      </c>
      <c r="J81" s="24">
        <v>2.0</v>
      </c>
      <c r="K81" s="24">
        <v>66.67</v>
      </c>
      <c r="L81" s="24">
        <v>0.0</v>
      </c>
      <c r="M81" s="24">
        <v>0.0</v>
      </c>
      <c r="N81" s="24">
        <v>0.0</v>
      </c>
      <c r="O81" s="24">
        <v>0.0</v>
      </c>
      <c r="P81" s="24">
        <v>0.0</v>
      </c>
      <c r="Q81" s="24">
        <v>21.0</v>
      </c>
      <c r="R81" s="24">
        <v>60.0</v>
      </c>
      <c r="S81" s="24">
        <v>9.12</v>
      </c>
      <c r="T81" s="24">
        <v>26.0</v>
      </c>
      <c r="U81" s="24">
        <v>17.14</v>
      </c>
      <c r="V81" s="24" t="s">
        <v>143</v>
      </c>
      <c r="W81" s="24">
        <v>2.0</v>
      </c>
      <c r="X81" s="24" t="s">
        <v>33</v>
      </c>
      <c r="Y81" s="6" t="str">
        <f t="shared" si="1"/>
        <v>Indian</v>
      </c>
      <c r="Z81" s="6"/>
      <c r="AA81" s="6"/>
    </row>
    <row r="82">
      <c r="A82" s="23">
        <v>2023.0</v>
      </c>
      <c r="B82" s="24" t="s">
        <v>164</v>
      </c>
      <c r="C82" s="24" t="s">
        <v>54</v>
      </c>
      <c r="D82" s="12" t="s">
        <v>55</v>
      </c>
      <c r="E82" s="24" t="s">
        <v>63</v>
      </c>
      <c r="F82" s="24">
        <v>14.0</v>
      </c>
      <c r="G82" s="24">
        <v>11.0</v>
      </c>
      <c r="H82" s="24">
        <v>210.0</v>
      </c>
      <c r="I82" s="24">
        <v>50.0</v>
      </c>
      <c r="J82" s="24">
        <v>26.25</v>
      </c>
      <c r="K82" s="24">
        <v>135.48</v>
      </c>
      <c r="L82" s="24">
        <v>18.0</v>
      </c>
      <c r="M82" s="24">
        <v>10.0</v>
      </c>
      <c r="N82" s="24">
        <v>1.0</v>
      </c>
      <c r="O82" s="24">
        <v>0.0</v>
      </c>
      <c r="P82" s="24">
        <v>2.0</v>
      </c>
      <c r="Q82" s="24">
        <v>20.0</v>
      </c>
      <c r="R82" s="24">
        <v>56.0</v>
      </c>
      <c r="S82" s="24">
        <v>7.86</v>
      </c>
      <c r="T82" s="24">
        <v>21.95</v>
      </c>
      <c r="U82" s="24">
        <v>16.8</v>
      </c>
      <c r="V82" s="24" t="s">
        <v>78</v>
      </c>
      <c r="W82" s="24">
        <v>9.0</v>
      </c>
      <c r="X82" s="24" t="s">
        <v>33</v>
      </c>
      <c r="Y82" s="6" t="str">
        <f t="shared" si="1"/>
        <v>Indian</v>
      </c>
      <c r="Z82" s="6"/>
      <c r="AA82" s="6"/>
    </row>
    <row r="83">
      <c r="A83" s="23">
        <v>2023.0</v>
      </c>
      <c r="B83" s="24" t="s">
        <v>165</v>
      </c>
      <c r="C83" s="24" t="s">
        <v>108</v>
      </c>
      <c r="D83" s="17" t="s">
        <v>109</v>
      </c>
      <c r="E83" s="24" t="s">
        <v>37</v>
      </c>
      <c r="F83" s="24">
        <v>14.0</v>
      </c>
      <c r="G83" s="24">
        <v>10.0</v>
      </c>
      <c r="H83" s="24">
        <v>474.0</v>
      </c>
      <c r="I83" s="24" t="s">
        <v>166</v>
      </c>
      <c r="J83" s="24">
        <v>67.71</v>
      </c>
      <c r="K83" s="24">
        <v>149.52</v>
      </c>
      <c r="L83" s="24">
        <v>34.0</v>
      </c>
      <c r="M83" s="24">
        <v>28.0</v>
      </c>
      <c r="N83" s="24">
        <v>4.0</v>
      </c>
      <c r="O83" s="24">
        <v>0.0</v>
      </c>
      <c r="P83" s="24">
        <v>7.0</v>
      </c>
      <c r="Q83" s="24">
        <v>0.0</v>
      </c>
      <c r="R83" s="24">
        <v>0.0</v>
      </c>
      <c r="S83" s="24">
        <v>0.0</v>
      </c>
      <c r="T83" s="24">
        <v>0.0</v>
      </c>
      <c r="U83" s="24">
        <v>0.0</v>
      </c>
      <c r="V83" s="24" t="s">
        <v>32</v>
      </c>
      <c r="W83" s="24">
        <v>5.0</v>
      </c>
      <c r="X83" s="24" t="s">
        <v>33</v>
      </c>
      <c r="Y83" s="6" t="str">
        <f t="shared" si="1"/>
        <v>Indian</v>
      </c>
      <c r="Z83" s="6"/>
      <c r="AA83" s="6"/>
    </row>
    <row r="84">
      <c r="A84" s="23">
        <v>2023.0</v>
      </c>
      <c r="B84" s="24" t="s">
        <v>167</v>
      </c>
      <c r="C84" s="24" t="s">
        <v>44</v>
      </c>
      <c r="D84" s="9" t="s">
        <v>45</v>
      </c>
      <c r="E84" s="24" t="s">
        <v>63</v>
      </c>
      <c r="F84" s="24">
        <v>14.0</v>
      </c>
      <c r="G84" s="24">
        <v>14.0</v>
      </c>
      <c r="H84" s="24">
        <v>452.0</v>
      </c>
      <c r="I84" s="24" t="s">
        <v>168</v>
      </c>
      <c r="J84" s="24">
        <v>36.86</v>
      </c>
      <c r="K84" s="24">
        <v>160.42</v>
      </c>
      <c r="L84" s="24">
        <v>36.0</v>
      </c>
      <c r="M84" s="24">
        <v>28.0</v>
      </c>
      <c r="N84" s="24">
        <v>2.0</v>
      </c>
      <c r="O84" s="24">
        <v>1.0</v>
      </c>
      <c r="P84" s="24">
        <v>1.0</v>
      </c>
      <c r="Q84" s="24">
        <v>4.0</v>
      </c>
      <c r="R84" s="24">
        <v>16.0</v>
      </c>
      <c r="S84" s="24">
        <v>10.12</v>
      </c>
      <c r="T84" s="24">
        <v>40.5</v>
      </c>
      <c r="U84" s="24">
        <v>24.0</v>
      </c>
      <c r="V84" s="24" t="s">
        <v>169</v>
      </c>
      <c r="W84" s="24">
        <v>8.0</v>
      </c>
      <c r="X84" s="24" t="s">
        <v>42</v>
      </c>
      <c r="Y84" s="6" t="str">
        <f t="shared" si="1"/>
        <v>Overseas</v>
      </c>
      <c r="Z84" s="6"/>
      <c r="AA84" s="6"/>
    </row>
    <row r="85">
      <c r="A85" s="23">
        <v>2023.0</v>
      </c>
      <c r="B85" s="24" t="s">
        <v>170</v>
      </c>
      <c r="C85" s="24" t="s">
        <v>40</v>
      </c>
      <c r="D85" s="8" t="s">
        <v>41</v>
      </c>
      <c r="E85" s="24" t="s">
        <v>37</v>
      </c>
      <c r="F85" s="24">
        <v>12.0</v>
      </c>
      <c r="G85" s="24">
        <v>12.0</v>
      </c>
      <c r="H85" s="24">
        <v>388.0</v>
      </c>
      <c r="I85" s="24" t="s">
        <v>168</v>
      </c>
      <c r="J85" s="24">
        <v>35.27</v>
      </c>
      <c r="K85" s="24">
        <v>162.34</v>
      </c>
      <c r="L85" s="24">
        <v>34.0</v>
      </c>
      <c r="M85" s="24">
        <v>22.0</v>
      </c>
      <c r="N85" s="24">
        <v>2.0</v>
      </c>
      <c r="O85" s="24">
        <v>1.0</v>
      </c>
      <c r="P85" s="24">
        <v>1.0</v>
      </c>
      <c r="Q85" s="24">
        <v>0.0</v>
      </c>
      <c r="R85" s="24">
        <v>0.0</v>
      </c>
      <c r="S85" s="24">
        <v>0.0</v>
      </c>
      <c r="T85" s="24">
        <v>0.0</v>
      </c>
      <c r="U85" s="24">
        <v>0.0</v>
      </c>
      <c r="V85" s="24" t="s">
        <v>32</v>
      </c>
      <c r="W85" s="24">
        <v>5.0</v>
      </c>
      <c r="X85" s="24" t="s">
        <v>91</v>
      </c>
      <c r="Y85" s="6" t="str">
        <f t="shared" si="1"/>
        <v>Overseas</v>
      </c>
      <c r="Z85" s="6"/>
      <c r="AA85" s="6"/>
    </row>
    <row r="86">
      <c r="A86" s="23">
        <v>2023.0</v>
      </c>
      <c r="B86" s="24" t="s">
        <v>62</v>
      </c>
      <c r="C86" s="24" t="s">
        <v>44</v>
      </c>
      <c r="D86" s="9" t="s">
        <v>45</v>
      </c>
      <c r="E86" s="24" t="s">
        <v>63</v>
      </c>
      <c r="F86" s="24">
        <v>12.0</v>
      </c>
      <c r="G86" s="24">
        <v>11.0</v>
      </c>
      <c r="H86" s="24">
        <v>266.0</v>
      </c>
      <c r="I86" s="24">
        <v>57.0</v>
      </c>
      <c r="J86" s="24">
        <v>24.18</v>
      </c>
      <c r="K86" s="24">
        <v>145.35</v>
      </c>
      <c r="L86" s="24">
        <v>18.0</v>
      </c>
      <c r="M86" s="24">
        <v>18.0</v>
      </c>
      <c r="N86" s="24">
        <v>1.0</v>
      </c>
      <c r="O86" s="24">
        <v>0.0</v>
      </c>
      <c r="P86" s="24">
        <v>2.0</v>
      </c>
      <c r="Q86" s="24">
        <v>12.0</v>
      </c>
      <c r="R86" s="24">
        <v>40.0</v>
      </c>
      <c r="S86" s="24">
        <v>8.75</v>
      </c>
      <c r="T86" s="24">
        <v>29.16</v>
      </c>
      <c r="U86" s="24">
        <v>20.0</v>
      </c>
      <c r="V86" s="24" t="s">
        <v>111</v>
      </c>
      <c r="W86" s="24">
        <v>5.0</v>
      </c>
      <c r="X86" s="24" t="s">
        <v>33</v>
      </c>
      <c r="Y86" s="6" t="str">
        <f t="shared" si="1"/>
        <v>Indian</v>
      </c>
      <c r="Z86" s="6"/>
      <c r="AA86" s="6"/>
    </row>
    <row r="87">
      <c r="A87" s="26">
        <v>2024.0</v>
      </c>
      <c r="B87" s="27" t="s">
        <v>100</v>
      </c>
      <c r="C87" s="27" t="s">
        <v>49</v>
      </c>
      <c r="D87" s="11" t="s">
        <v>50</v>
      </c>
      <c r="E87" s="27" t="s">
        <v>37</v>
      </c>
      <c r="F87" s="27">
        <v>15.0</v>
      </c>
      <c r="G87" s="27">
        <v>15.0</v>
      </c>
      <c r="H87" s="27">
        <v>741.0</v>
      </c>
      <c r="I87" s="27" t="s">
        <v>171</v>
      </c>
      <c r="J87" s="27">
        <v>61.75</v>
      </c>
      <c r="K87" s="27">
        <v>154.69</v>
      </c>
      <c r="L87" s="27">
        <v>72.0</v>
      </c>
      <c r="M87" s="27">
        <v>20.0</v>
      </c>
      <c r="N87" s="27">
        <v>6.0</v>
      </c>
      <c r="O87" s="27">
        <v>1.0</v>
      </c>
      <c r="P87" s="27">
        <v>3.0</v>
      </c>
      <c r="Q87" s="27">
        <v>0.0</v>
      </c>
      <c r="R87" s="27">
        <v>0.0</v>
      </c>
      <c r="S87" s="27">
        <v>0.0</v>
      </c>
      <c r="T87" s="27">
        <v>0.0</v>
      </c>
      <c r="U87" s="27">
        <v>0.0</v>
      </c>
      <c r="V87" s="27" t="s">
        <v>32</v>
      </c>
      <c r="W87" s="27">
        <v>14.0</v>
      </c>
      <c r="X87" s="27" t="s">
        <v>33</v>
      </c>
      <c r="Y87" s="6" t="str">
        <f t="shared" si="1"/>
        <v>Indian</v>
      </c>
      <c r="Z87" s="6"/>
      <c r="AA87" s="6"/>
    </row>
    <row r="88">
      <c r="A88" s="26">
        <v>2024.0</v>
      </c>
      <c r="B88" s="27" t="s">
        <v>92</v>
      </c>
      <c r="C88" s="27" t="s">
        <v>54</v>
      </c>
      <c r="D88" s="12" t="s">
        <v>55</v>
      </c>
      <c r="E88" s="27" t="s">
        <v>37</v>
      </c>
      <c r="F88" s="27">
        <v>15.0</v>
      </c>
      <c r="G88" s="27">
        <v>15.0</v>
      </c>
      <c r="H88" s="27">
        <v>583.0</v>
      </c>
      <c r="I88" s="27">
        <v>98.0</v>
      </c>
      <c r="J88" s="27">
        <v>43.55</v>
      </c>
      <c r="K88" s="27">
        <v>141.11</v>
      </c>
      <c r="L88" s="27">
        <v>58.0</v>
      </c>
      <c r="M88" s="27">
        <v>16.0</v>
      </c>
      <c r="N88" s="27">
        <v>5.0</v>
      </c>
      <c r="O88" s="27">
        <v>0.0</v>
      </c>
      <c r="P88" s="27">
        <v>2.0</v>
      </c>
      <c r="Q88" s="27">
        <v>0.0</v>
      </c>
      <c r="R88" s="27">
        <v>0.0</v>
      </c>
      <c r="S88" s="27">
        <v>0.0</v>
      </c>
      <c r="T88" s="27">
        <v>0.0</v>
      </c>
      <c r="U88" s="27">
        <v>0.0</v>
      </c>
      <c r="V88" s="27" t="s">
        <v>32</v>
      </c>
      <c r="W88" s="27">
        <v>10.0</v>
      </c>
      <c r="X88" s="27" t="s">
        <v>33</v>
      </c>
      <c r="Y88" s="6" t="str">
        <f t="shared" si="1"/>
        <v>Indian</v>
      </c>
      <c r="Z88" s="6"/>
      <c r="AA88" s="6"/>
    </row>
    <row r="89">
      <c r="A89" s="26">
        <v>2024.0</v>
      </c>
      <c r="B89" s="27" t="s">
        <v>172</v>
      </c>
      <c r="C89" s="27" t="s">
        <v>59</v>
      </c>
      <c r="D89" s="13" t="s">
        <v>60</v>
      </c>
      <c r="E89" s="27" t="s">
        <v>63</v>
      </c>
      <c r="F89" s="27">
        <v>14.0</v>
      </c>
      <c r="G89" s="27">
        <v>14.0</v>
      </c>
      <c r="H89" s="27">
        <v>573.0</v>
      </c>
      <c r="I89" s="27">
        <v>84.0</v>
      </c>
      <c r="J89" s="27">
        <v>47.75</v>
      </c>
      <c r="K89" s="27">
        <v>149.6</v>
      </c>
      <c r="L89" s="27">
        <v>48.0</v>
      </c>
      <c r="M89" s="27">
        <v>26.0</v>
      </c>
      <c r="N89" s="27">
        <v>5.0</v>
      </c>
      <c r="O89" s="27">
        <v>0.0</v>
      </c>
      <c r="P89" s="27">
        <v>2.0</v>
      </c>
      <c r="Q89" s="27">
        <v>5.0</v>
      </c>
      <c r="R89" s="27">
        <v>18.0</v>
      </c>
      <c r="S89" s="27">
        <v>10.22</v>
      </c>
      <c r="T89" s="27">
        <v>36.8</v>
      </c>
      <c r="U89" s="27">
        <v>21.6</v>
      </c>
      <c r="V89" s="27" t="s">
        <v>111</v>
      </c>
      <c r="W89" s="27">
        <v>8.0</v>
      </c>
      <c r="X89" s="27" t="s">
        <v>33</v>
      </c>
      <c r="Y89" s="6" t="str">
        <f t="shared" si="1"/>
        <v>Indian</v>
      </c>
      <c r="Z89" s="6"/>
      <c r="AA89" s="6"/>
    </row>
    <row r="90">
      <c r="A90" s="26">
        <v>2024.0</v>
      </c>
      <c r="B90" s="27" t="s">
        <v>173</v>
      </c>
      <c r="C90" s="27" t="s">
        <v>40</v>
      </c>
      <c r="D90" s="8" t="s">
        <v>41</v>
      </c>
      <c r="E90" s="27" t="s">
        <v>37</v>
      </c>
      <c r="F90" s="27">
        <v>15.0</v>
      </c>
      <c r="G90" s="27">
        <v>15.0</v>
      </c>
      <c r="H90" s="27">
        <v>567.0</v>
      </c>
      <c r="I90" s="27">
        <v>102.0</v>
      </c>
      <c r="J90" s="27">
        <v>42.0</v>
      </c>
      <c r="K90" s="27">
        <v>191.55</v>
      </c>
      <c r="L90" s="27">
        <v>58.0</v>
      </c>
      <c r="M90" s="27">
        <v>32.0</v>
      </c>
      <c r="N90" s="27">
        <v>2.0</v>
      </c>
      <c r="O90" s="27">
        <v>1.0</v>
      </c>
      <c r="P90" s="27">
        <v>1.0</v>
      </c>
      <c r="Q90" s="27">
        <v>0.0</v>
      </c>
      <c r="R90" s="27">
        <v>0.0</v>
      </c>
      <c r="S90" s="27">
        <v>0.0</v>
      </c>
      <c r="T90" s="27">
        <v>0.0</v>
      </c>
      <c r="U90" s="27">
        <v>0.0</v>
      </c>
      <c r="V90" s="27" t="s">
        <v>32</v>
      </c>
      <c r="W90" s="27">
        <v>9.0</v>
      </c>
      <c r="X90" s="27" t="s">
        <v>42</v>
      </c>
      <c r="Y90" s="6" t="str">
        <f t="shared" si="1"/>
        <v>Overseas</v>
      </c>
      <c r="Z90" s="6"/>
      <c r="AA90" s="6"/>
    </row>
    <row r="91">
      <c r="A91" s="26">
        <v>2024.0</v>
      </c>
      <c r="B91" s="27" t="s">
        <v>58</v>
      </c>
      <c r="C91" s="27" t="s">
        <v>59</v>
      </c>
      <c r="D91" s="13" t="s">
        <v>60</v>
      </c>
      <c r="E91" s="27" t="s">
        <v>30</v>
      </c>
      <c r="F91" s="27">
        <v>13.0</v>
      </c>
      <c r="G91" s="27">
        <v>12.0</v>
      </c>
      <c r="H91" s="27">
        <v>531.0</v>
      </c>
      <c r="I91" s="27">
        <v>86.0</v>
      </c>
      <c r="J91" s="27">
        <v>53.1</v>
      </c>
      <c r="K91" s="27">
        <v>160.6</v>
      </c>
      <c r="L91" s="27">
        <v>44.0</v>
      </c>
      <c r="M91" s="27">
        <v>30.0</v>
      </c>
      <c r="N91" s="27">
        <v>4.0</v>
      </c>
      <c r="O91" s="27">
        <v>0.0</v>
      </c>
      <c r="P91" s="27">
        <v>3.0</v>
      </c>
      <c r="Q91" s="27">
        <v>0.0</v>
      </c>
      <c r="R91" s="27">
        <v>0.0</v>
      </c>
      <c r="S91" s="27">
        <v>0.0</v>
      </c>
      <c r="T91" s="27">
        <v>0.0</v>
      </c>
      <c r="U91" s="27">
        <v>0.0</v>
      </c>
      <c r="V91" s="27" t="s">
        <v>32</v>
      </c>
      <c r="W91" s="27">
        <v>10.0</v>
      </c>
      <c r="X91" s="27" t="s">
        <v>33</v>
      </c>
      <c r="Y91" s="6" t="str">
        <f t="shared" si="1"/>
        <v>Indian</v>
      </c>
      <c r="Z91" s="6"/>
      <c r="AA91" s="6"/>
    </row>
    <row r="92">
      <c r="A92" s="26">
        <v>2024.0</v>
      </c>
      <c r="B92" s="27" t="s">
        <v>174</v>
      </c>
      <c r="C92" s="27" t="s">
        <v>40</v>
      </c>
      <c r="D92" s="8" t="s">
        <v>41</v>
      </c>
      <c r="E92" s="27" t="s">
        <v>63</v>
      </c>
      <c r="F92" s="27">
        <v>16.0</v>
      </c>
      <c r="G92" s="27">
        <v>16.0</v>
      </c>
      <c r="H92" s="27">
        <v>484.0</v>
      </c>
      <c r="I92" s="27" t="s">
        <v>93</v>
      </c>
      <c r="J92" s="27">
        <v>30.25</v>
      </c>
      <c r="K92" s="27">
        <v>204.21</v>
      </c>
      <c r="L92" s="27">
        <v>38.0</v>
      </c>
      <c r="M92" s="27">
        <v>42.0</v>
      </c>
      <c r="N92" s="27">
        <v>2.0</v>
      </c>
      <c r="O92" s="27">
        <v>1.0</v>
      </c>
      <c r="P92" s="27">
        <v>0.0</v>
      </c>
      <c r="Q92" s="27">
        <v>7.0</v>
      </c>
      <c r="R92" s="27">
        <v>24.0</v>
      </c>
      <c r="S92" s="27">
        <v>9.87</v>
      </c>
      <c r="T92" s="27">
        <v>33.85</v>
      </c>
      <c r="U92" s="27">
        <v>20.57</v>
      </c>
      <c r="V92" s="27" t="s">
        <v>111</v>
      </c>
      <c r="W92" s="27">
        <v>7.0</v>
      </c>
      <c r="X92" s="27" t="s">
        <v>33</v>
      </c>
      <c r="Y92" s="6" t="str">
        <f t="shared" si="1"/>
        <v>Indian</v>
      </c>
      <c r="Z92" s="6"/>
      <c r="AA92" s="6"/>
    </row>
    <row r="93">
      <c r="A93" s="26">
        <v>2024.0</v>
      </c>
      <c r="B93" s="27" t="s">
        <v>114</v>
      </c>
      <c r="C93" s="27" t="s">
        <v>108</v>
      </c>
      <c r="D93" s="17" t="s">
        <v>109</v>
      </c>
      <c r="E93" s="27" t="s">
        <v>63</v>
      </c>
      <c r="F93" s="27">
        <v>15.0</v>
      </c>
      <c r="G93" s="27">
        <v>14.0</v>
      </c>
      <c r="H93" s="27">
        <v>488.0</v>
      </c>
      <c r="I93" s="27">
        <v>109.0</v>
      </c>
      <c r="J93" s="27">
        <v>44.36</v>
      </c>
      <c r="K93" s="27">
        <v>180.44</v>
      </c>
      <c r="L93" s="27">
        <v>40.0</v>
      </c>
      <c r="M93" s="27">
        <v>32.0</v>
      </c>
      <c r="N93" s="27">
        <v>4.0</v>
      </c>
      <c r="O93" s="27">
        <v>1.0</v>
      </c>
      <c r="P93" s="27">
        <v>2.0</v>
      </c>
      <c r="Q93" s="27">
        <v>17.0</v>
      </c>
      <c r="R93" s="27">
        <v>58.0</v>
      </c>
      <c r="S93" s="27">
        <v>6.9</v>
      </c>
      <c r="T93" s="27">
        <v>23.52</v>
      </c>
      <c r="U93" s="27">
        <v>20.47</v>
      </c>
      <c r="V93" s="27" t="s">
        <v>85</v>
      </c>
      <c r="W93" s="27">
        <v>12.0</v>
      </c>
      <c r="X93" s="27" t="s">
        <v>67</v>
      </c>
      <c r="Y93" s="6" t="str">
        <f t="shared" si="1"/>
        <v>Overseas</v>
      </c>
      <c r="Z93" s="6"/>
      <c r="AA93" s="6"/>
    </row>
    <row r="94">
      <c r="A94" s="26">
        <v>2024.0</v>
      </c>
      <c r="B94" s="27" t="s">
        <v>120</v>
      </c>
      <c r="C94" s="27" t="s">
        <v>59</v>
      </c>
      <c r="D94" s="13" t="s">
        <v>60</v>
      </c>
      <c r="E94" s="27" t="s">
        <v>30</v>
      </c>
      <c r="F94" s="27">
        <v>14.0</v>
      </c>
      <c r="G94" s="27">
        <v>14.0</v>
      </c>
      <c r="H94" s="27">
        <v>395.0</v>
      </c>
      <c r="I94" s="27" t="s">
        <v>175</v>
      </c>
      <c r="J94" s="27">
        <v>30.38</v>
      </c>
      <c r="K94" s="27">
        <v>148.68</v>
      </c>
      <c r="L94" s="27">
        <v>36.0</v>
      </c>
      <c r="M94" s="27">
        <v>18.0</v>
      </c>
      <c r="N94" s="27">
        <v>2.0</v>
      </c>
      <c r="O94" s="27">
        <v>0.0</v>
      </c>
      <c r="P94" s="27">
        <v>1.0</v>
      </c>
      <c r="Q94" s="27">
        <v>0.0</v>
      </c>
      <c r="R94" s="27">
        <v>0.0</v>
      </c>
      <c r="S94" s="27">
        <v>0.0</v>
      </c>
      <c r="T94" s="27">
        <v>0.0</v>
      </c>
      <c r="U94" s="27">
        <v>0.0</v>
      </c>
      <c r="V94" s="27" t="s">
        <v>32</v>
      </c>
      <c r="W94" s="27">
        <v>9.0</v>
      </c>
      <c r="X94" s="27" t="s">
        <v>91</v>
      </c>
      <c r="Y94" s="6" t="str">
        <f t="shared" si="1"/>
        <v>Overseas</v>
      </c>
      <c r="Z94" s="6"/>
      <c r="AA94" s="6"/>
    </row>
    <row r="95">
      <c r="A95" s="26">
        <v>2024.0</v>
      </c>
      <c r="B95" s="27" t="s">
        <v>129</v>
      </c>
      <c r="C95" s="27" t="s">
        <v>126</v>
      </c>
      <c r="D95" s="21" t="s">
        <v>127</v>
      </c>
      <c r="E95" s="27" t="s">
        <v>37</v>
      </c>
      <c r="F95" s="27">
        <v>14.0</v>
      </c>
      <c r="G95" s="27">
        <v>14.0</v>
      </c>
      <c r="H95" s="27">
        <v>426.0</v>
      </c>
      <c r="I95" s="27" t="s">
        <v>176</v>
      </c>
      <c r="J95" s="27">
        <v>32.77</v>
      </c>
      <c r="K95" s="27">
        <v>153.57</v>
      </c>
      <c r="L95" s="27">
        <v>40.0</v>
      </c>
      <c r="M95" s="27">
        <v>16.0</v>
      </c>
      <c r="N95" s="27">
        <v>3.0</v>
      </c>
      <c r="O95" s="27">
        <v>1.0</v>
      </c>
      <c r="P95" s="27">
        <v>1.0</v>
      </c>
      <c r="Q95" s="27">
        <v>0.0</v>
      </c>
      <c r="R95" s="27">
        <v>0.0</v>
      </c>
      <c r="S95" s="27">
        <v>0.0</v>
      </c>
      <c r="T95" s="27">
        <v>0.0</v>
      </c>
      <c r="U95" s="27">
        <v>0.0</v>
      </c>
      <c r="V95" s="27" t="s">
        <v>32</v>
      </c>
      <c r="W95" s="27">
        <v>7.0</v>
      </c>
      <c r="X95" s="27" t="s">
        <v>33</v>
      </c>
      <c r="Y95" s="6" t="str">
        <f t="shared" si="1"/>
        <v>Indian</v>
      </c>
      <c r="Z95" s="6"/>
      <c r="AA95" s="6"/>
    </row>
    <row r="96">
      <c r="A96" s="26">
        <v>2024.0</v>
      </c>
      <c r="B96" s="27" t="s">
        <v>177</v>
      </c>
      <c r="C96" s="27" t="s">
        <v>108</v>
      </c>
      <c r="D96" s="17" t="s">
        <v>109</v>
      </c>
      <c r="E96" s="27" t="s">
        <v>30</v>
      </c>
      <c r="F96" s="27">
        <v>13.0</v>
      </c>
      <c r="G96" s="27">
        <v>13.0</v>
      </c>
      <c r="H96" s="27">
        <v>435.0</v>
      </c>
      <c r="I96" s="27" t="s">
        <v>178</v>
      </c>
      <c r="J96" s="27">
        <v>38.27</v>
      </c>
      <c r="K96" s="27">
        <v>182.07</v>
      </c>
      <c r="L96" s="27">
        <v>42.0</v>
      </c>
      <c r="M96" s="27">
        <v>22.0</v>
      </c>
      <c r="N96" s="27">
        <v>3.0</v>
      </c>
      <c r="O96" s="27">
        <v>0.0</v>
      </c>
      <c r="P96" s="27">
        <v>2.0</v>
      </c>
      <c r="Q96" s="27">
        <v>0.0</v>
      </c>
      <c r="R96" s="27">
        <v>0.0</v>
      </c>
      <c r="S96" s="27">
        <v>0.0</v>
      </c>
      <c r="T96" s="27">
        <v>0.0</v>
      </c>
      <c r="U96" s="27">
        <v>0.0</v>
      </c>
      <c r="V96" s="27" t="s">
        <v>32</v>
      </c>
      <c r="W96" s="27">
        <v>9.0</v>
      </c>
      <c r="X96" s="27" t="s">
        <v>91</v>
      </c>
      <c r="Y96" s="6" t="str">
        <f t="shared" si="1"/>
        <v>Overseas</v>
      </c>
      <c r="Z96" s="6"/>
      <c r="AA96" s="6"/>
    </row>
    <row r="97">
      <c r="A97" s="26">
        <v>2024.0</v>
      </c>
      <c r="B97" s="27" t="s">
        <v>101</v>
      </c>
      <c r="C97" s="27" t="s">
        <v>94</v>
      </c>
      <c r="D97" s="5" t="s">
        <v>95</v>
      </c>
      <c r="E97" s="27" t="s">
        <v>69</v>
      </c>
      <c r="F97" s="27">
        <v>13.0</v>
      </c>
      <c r="G97" s="27">
        <v>2.0</v>
      </c>
      <c r="H97" s="27">
        <v>12.0</v>
      </c>
      <c r="I97" s="27">
        <v>8.0</v>
      </c>
      <c r="J97" s="27">
        <v>6.0</v>
      </c>
      <c r="K97" s="27">
        <v>80.0</v>
      </c>
      <c r="L97" s="27">
        <v>0.0</v>
      </c>
      <c r="M97" s="27">
        <v>0.0</v>
      </c>
      <c r="N97" s="27">
        <v>0.0</v>
      </c>
      <c r="O97" s="27">
        <v>0.0</v>
      </c>
      <c r="P97" s="27">
        <v>0.0</v>
      </c>
      <c r="Q97" s="27">
        <v>24.0</v>
      </c>
      <c r="R97" s="27">
        <v>50.0</v>
      </c>
      <c r="S97" s="27">
        <v>9.73</v>
      </c>
      <c r="T97" s="27">
        <v>20.33</v>
      </c>
      <c r="U97" s="27">
        <v>12.5</v>
      </c>
      <c r="V97" s="27" t="s">
        <v>179</v>
      </c>
      <c r="W97" s="27">
        <v>3.0</v>
      </c>
      <c r="X97" s="27" t="s">
        <v>33</v>
      </c>
      <c r="Y97" s="6" t="str">
        <f t="shared" si="1"/>
        <v>Indian</v>
      </c>
      <c r="Z97" s="6"/>
      <c r="AA97" s="6"/>
    </row>
    <row r="98">
      <c r="A98" s="26">
        <v>2024.0</v>
      </c>
      <c r="B98" s="27" t="s">
        <v>107</v>
      </c>
      <c r="C98" s="27" t="s">
        <v>108</v>
      </c>
      <c r="D98" s="17" t="s">
        <v>109</v>
      </c>
      <c r="E98" s="27" t="s">
        <v>69</v>
      </c>
      <c r="F98" s="27">
        <v>15.0</v>
      </c>
      <c r="G98" s="27">
        <v>1.0</v>
      </c>
      <c r="H98" s="27">
        <v>4.0</v>
      </c>
      <c r="I98" s="27">
        <v>4.0</v>
      </c>
      <c r="J98" s="27">
        <v>4.0</v>
      </c>
      <c r="K98" s="27">
        <v>80.0</v>
      </c>
      <c r="L98" s="27">
        <v>0.0</v>
      </c>
      <c r="M98" s="27">
        <v>0.0</v>
      </c>
      <c r="N98" s="27">
        <v>0.0</v>
      </c>
      <c r="O98" s="27">
        <v>0.0</v>
      </c>
      <c r="P98" s="27">
        <v>0.0</v>
      </c>
      <c r="Q98" s="27">
        <v>21.0</v>
      </c>
      <c r="R98" s="27">
        <v>58.0</v>
      </c>
      <c r="S98" s="27">
        <v>8.04</v>
      </c>
      <c r="T98" s="27">
        <v>22.19</v>
      </c>
      <c r="U98" s="27">
        <v>16.57</v>
      </c>
      <c r="V98" s="27" t="s">
        <v>85</v>
      </c>
      <c r="W98" s="27">
        <v>8.0</v>
      </c>
      <c r="X98" s="27" t="s">
        <v>33</v>
      </c>
      <c r="Y98" s="6" t="str">
        <f t="shared" si="1"/>
        <v>Indian</v>
      </c>
      <c r="Z98" s="6"/>
      <c r="AA98" s="6"/>
    </row>
    <row r="99">
      <c r="A99" s="26">
        <v>2024.0</v>
      </c>
      <c r="B99" s="27" t="s">
        <v>68</v>
      </c>
      <c r="C99" s="27" t="s">
        <v>44</v>
      </c>
      <c r="D99" s="9" t="s">
        <v>45</v>
      </c>
      <c r="E99" s="27" t="s">
        <v>69</v>
      </c>
      <c r="F99" s="27">
        <v>13.0</v>
      </c>
      <c r="G99" s="27">
        <v>1.0</v>
      </c>
      <c r="H99" s="27">
        <v>3.0</v>
      </c>
      <c r="I99" s="27">
        <v>3.0</v>
      </c>
      <c r="J99" s="27">
        <v>3.0</v>
      </c>
      <c r="K99" s="27">
        <v>75.0</v>
      </c>
      <c r="L99" s="27">
        <v>0.0</v>
      </c>
      <c r="M99" s="27">
        <v>0.0</v>
      </c>
      <c r="N99" s="27">
        <v>0.0</v>
      </c>
      <c r="O99" s="27">
        <v>0.0</v>
      </c>
      <c r="P99" s="27">
        <v>0.0</v>
      </c>
      <c r="Q99" s="27">
        <v>15.0</v>
      </c>
      <c r="R99" s="27">
        <v>52.0</v>
      </c>
      <c r="S99" s="27">
        <v>6.22</v>
      </c>
      <c r="T99" s="27">
        <v>21.6</v>
      </c>
      <c r="U99" s="27">
        <v>20.8</v>
      </c>
      <c r="V99" s="27" t="s">
        <v>65</v>
      </c>
      <c r="W99" s="27">
        <v>4.0</v>
      </c>
      <c r="X99" s="27" t="s">
        <v>33</v>
      </c>
      <c r="Y99" s="6" t="str">
        <f t="shared" si="1"/>
        <v>Indian</v>
      </c>
      <c r="Z99" s="6"/>
      <c r="AA99" s="6"/>
    </row>
    <row r="100">
      <c r="A100" s="26">
        <v>2024.0</v>
      </c>
      <c r="B100" s="27" t="s">
        <v>180</v>
      </c>
      <c r="C100" s="27" t="s">
        <v>108</v>
      </c>
      <c r="D100" s="17" t="s">
        <v>109</v>
      </c>
      <c r="E100" s="27" t="s">
        <v>69</v>
      </c>
      <c r="F100" s="27">
        <v>13.0</v>
      </c>
      <c r="G100" s="27">
        <v>2.0</v>
      </c>
      <c r="H100" s="27">
        <v>10.0</v>
      </c>
      <c r="I100" s="27">
        <v>8.0</v>
      </c>
      <c r="J100" s="27">
        <v>5.0</v>
      </c>
      <c r="K100" s="27">
        <v>100.0</v>
      </c>
      <c r="L100" s="27">
        <v>0.0</v>
      </c>
      <c r="M100" s="27">
        <v>0.0</v>
      </c>
      <c r="N100" s="27">
        <v>0.0</v>
      </c>
      <c r="O100" s="27">
        <v>0.0</v>
      </c>
      <c r="P100" s="27">
        <v>0.0</v>
      </c>
      <c r="Q100" s="27">
        <v>17.0</v>
      </c>
      <c r="R100" s="27">
        <v>52.0</v>
      </c>
      <c r="S100" s="27">
        <v>8.38</v>
      </c>
      <c r="T100" s="27">
        <v>25.64</v>
      </c>
      <c r="U100" s="27">
        <v>18.35</v>
      </c>
      <c r="V100" s="27" t="s">
        <v>85</v>
      </c>
      <c r="W100" s="27">
        <v>2.0</v>
      </c>
      <c r="X100" s="27" t="s">
        <v>42</v>
      </c>
      <c r="Y100" s="6" t="str">
        <f t="shared" si="1"/>
        <v>Overseas</v>
      </c>
      <c r="Z100" s="6"/>
      <c r="AA100" s="6"/>
    </row>
    <row r="101">
      <c r="A101" s="26">
        <v>2024.0</v>
      </c>
      <c r="B101" s="27" t="s">
        <v>181</v>
      </c>
      <c r="C101" s="27" t="s">
        <v>108</v>
      </c>
      <c r="D101" s="17" t="s">
        <v>109</v>
      </c>
      <c r="E101" s="27" t="s">
        <v>63</v>
      </c>
      <c r="F101" s="27">
        <v>15.0</v>
      </c>
      <c r="G101" s="27">
        <v>12.0</v>
      </c>
      <c r="H101" s="27">
        <v>222.0</v>
      </c>
      <c r="I101" s="27" t="s">
        <v>182</v>
      </c>
      <c r="J101" s="27">
        <v>27.75</v>
      </c>
      <c r="K101" s="27">
        <v>185.0</v>
      </c>
      <c r="L101" s="27">
        <v>12.0</v>
      </c>
      <c r="M101" s="27">
        <v>24.0</v>
      </c>
      <c r="N101" s="27">
        <v>0.0</v>
      </c>
      <c r="O101" s="27">
        <v>0.0</v>
      </c>
      <c r="P101" s="27">
        <v>4.0</v>
      </c>
      <c r="Q101" s="27">
        <v>19.0</v>
      </c>
      <c r="R101" s="27">
        <v>46.0</v>
      </c>
      <c r="S101" s="27">
        <v>10.25</v>
      </c>
      <c r="T101" s="27">
        <v>24.84</v>
      </c>
      <c r="U101" s="27">
        <v>14.52</v>
      </c>
      <c r="V101" s="27" t="s">
        <v>160</v>
      </c>
      <c r="W101" s="27">
        <v>7.0</v>
      </c>
      <c r="X101" s="27" t="s">
        <v>67</v>
      </c>
      <c r="Y101" s="6" t="str">
        <f t="shared" si="1"/>
        <v>Overseas</v>
      </c>
      <c r="Z101" s="6"/>
      <c r="AA101" s="6"/>
    </row>
    <row r="102">
      <c r="A102" s="26">
        <v>2024.0</v>
      </c>
      <c r="B102" s="27" t="s">
        <v>146</v>
      </c>
      <c r="C102" s="27" t="s">
        <v>35</v>
      </c>
      <c r="D102" s="7" t="s">
        <v>36</v>
      </c>
      <c r="E102" s="27" t="s">
        <v>69</v>
      </c>
      <c r="F102" s="27">
        <v>13.0</v>
      </c>
      <c r="G102" s="27">
        <v>1.0</v>
      </c>
      <c r="H102" s="27">
        <v>4.0</v>
      </c>
      <c r="I102" s="27">
        <v>4.0</v>
      </c>
      <c r="J102" s="27">
        <v>4.0</v>
      </c>
      <c r="K102" s="27">
        <v>80.0</v>
      </c>
      <c r="L102" s="27">
        <v>0.0</v>
      </c>
      <c r="M102" s="27">
        <v>0.0</v>
      </c>
      <c r="N102" s="27">
        <v>0.0</v>
      </c>
      <c r="O102" s="27">
        <v>0.0</v>
      </c>
      <c r="P102" s="27">
        <v>0.0</v>
      </c>
      <c r="Q102" s="27">
        <v>19.0</v>
      </c>
      <c r="R102" s="27">
        <v>52.0</v>
      </c>
      <c r="S102" s="27">
        <v>8.6</v>
      </c>
      <c r="T102" s="27">
        <v>23.52</v>
      </c>
      <c r="U102" s="27">
        <v>16.42</v>
      </c>
      <c r="V102" s="27" t="s">
        <v>162</v>
      </c>
      <c r="W102" s="27">
        <v>7.0</v>
      </c>
      <c r="X102" s="27" t="s">
        <v>33</v>
      </c>
      <c r="Y102" s="6" t="str">
        <f t="shared" si="1"/>
        <v>Indian</v>
      </c>
      <c r="Z102" s="6"/>
      <c r="AA102" s="6"/>
    </row>
    <row r="103">
      <c r="A103" s="26">
        <v>2024.0</v>
      </c>
      <c r="B103" s="27" t="s">
        <v>183</v>
      </c>
      <c r="C103" s="27" t="s">
        <v>54</v>
      </c>
      <c r="D103" s="12" t="s">
        <v>55</v>
      </c>
      <c r="E103" s="27" t="s">
        <v>69</v>
      </c>
      <c r="F103" s="27">
        <v>13.0</v>
      </c>
      <c r="G103" s="27">
        <v>1.0</v>
      </c>
      <c r="H103" s="27">
        <v>3.0</v>
      </c>
      <c r="I103" s="27">
        <v>3.0</v>
      </c>
      <c r="J103" s="27">
        <v>3.0</v>
      </c>
      <c r="K103" s="27">
        <v>75.0</v>
      </c>
      <c r="L103" s="27">
        <v>0.0</v>
      </c>
      <c r="M103" s="27">
        <v>0.0</v>
      </c>
      <c r="N103" s="27">
        <v>0.0</v>
      </c>
      <c r="O103" s="27">
        <v>0.0</v>
      </c>
      <c r="P103" s="27">
        <v>0.0</v>
      </c>
      <c r="Q103" s="27">
        <v>17.0</v>
      </c>
      <c r="R103" s="27">
        <v>50.0</v>
      </c>
      <c r="S103" s="27">
        <v>8.58</v>
      </c>
      <c r="T103" s="27">
        <v>25.23</v>
      </c>
      <c r="U103" s="27">
        <v>17.64</v>
      </c>
      <c r="V103" s="27" t="s">
        <v>179</v>
      </c>
      <c r="W103" s="27">
        <v>2.0</v>
      </c>
      <c r="X103" s="27" t="s">
        <v>184</v>
      </c>
      <c r="Y103" s="6" t="str">
        <f t="shared" si="1"/>
        <v>Overseas</v>
      </c>
      <c r="Z103" s="6"/>
      <c r="AA103" s="6"/>
    </row>
    <row r="104">
      <c r="A104" s="26">
        <v>2024.0</v>
      </c>
      <c r="B104" s="27" t="s">
        <v>185</v>
      </c>
      <c r="C104" s="27" t="s">
        <v>54</v>
      </c>
      <c r="D104" s="12" t="s">
        <v>55</v>
      </c>
      <c r="E104" s="27" t="s">
        <v>69</v>
      </c>
      <c r="F104" s="27">
        <v>12.0</v>
      </c>
      <c r="G104" s="27">
        <v>1.0</v>
      </c>
      <c r="H104" s="27">
        <v>2.0</v>
      </c>
      <c r="I104" s="27">
        <v>2.0</v>
      </c>
      <c r="J104" s="27">
        <v>2.0</v>
      </c>
      <c r="K104" s="27">
        <v>66.67</v>
      </c>
      <c r="L104" s="27">
        <v>0.0</v>
      </c>
      <c r="M104" s="27">
        <v>0.0</v>
      </c>
      <c r="N104" s="27">
        <v>0.0</v>
      </c>
      <c r="O104" s="27">
        <v>0.0</v>
      </c>
      <c r="P104" s="27">
        <v>0.0</v>
      </c>
      <c r="Q104" s="27">
        <v>13.0</v>
      </c>
      <c r="R104" s="27">
        <v>44.0</v>
      </c>
      <c r="S104" s="27">
        <v>7.9</v>
      </c>
      <c r="T104" s="27">
        <v>26.76</v>
      </c>
      <c r="U104" s="27">
        <v>20.3</v>
      </c>
      <c r="V104" s="27" t="s">
        <v>186</v>
      </c>
      <c r="W104" s="27">
        <v>2.0</v>
      </c>
      <c r="X104" s="27" t="s">
        <v>142</v>
      </c>
      <c r="Y104" s="6" t="str">
        <f t="shared" si="1"/>
        <v>Overseas</v>
      </c>
      <c r="Z104" s="6"/>
      <c r="AA104" s="6"/>
    </row>
    <row r="105">
      <c r="A105" s="26">
        <v>2024.0</v>
      </c>
      <c r="B105" s="27" t="s">
        <v>156</v>
      </c>
      <c r="C105" s="27" t="s">
        <v>40</v>
      </c>
      <c r="D105" s="8" t="s">
        <v>41</v>
      </c>
      <c r="E105" s="27" t="s">
        <v>30</v>
      </c>
      <c r="F105" s="27">
        <v>16.0</v>
      </c>
      <c r="G105" s="27">
        <v>16.0</v>
      </c>
      <c r="H105" s="27">
        <v>479.0</v>
      </c>
      <c r="I105" s="27" t="s">
        <v>187</v>
      </c>
      <c r="J105" s="27">
        <v>39.92</v>
      </c>
      <c r="K105" s="27">
        <v>176.38</v>
      </c>
      <c r="L105" s="27">
        <v>28.0</v>
      </c>
      <c r="M105" s="27">
        <v>40.0</v>
      </c>
      <c r="N105" s="27">
        <v>3.0</v>
      </c>
      <c r="O105" s="27">
        <v>1.0</v>
      </c>
      <c r="P105" s="27">
        <v>3.0</v>
      </c>
      <c r="Q105" s="27">
        <v>0.0</v>
      </c>
      <c r="R105" s="27">
        <v>0.0</v>
      </c>
      <c r="S105" s="27">
        <v>0.0</v>
      </c>
      <c r="T105" s="27">
        <v>0.0</v>
      </c>
      <c r="U105" s="27">
        <v>0.0</v>
      </c>
      <c r="V105" s="27" t="s">
        <v>32</v>
      </c>
      <c r="W105" s="27">
        <v>12.0</v>
      </c>
      <c r="X105" s="27" t="s">
        <v>46</v>
      </c>
      <c r="Y105" s="6" t="str">
        <f t="shared" si="1"/>
        <v>Overseas</v>
      </c>
      <c r="Z105" s="6"/>
      <c r="AA105" s="6"/>
    </row>
    <row r="106">
      <c r="A106" s="26">
        <v>2024.0</v>
      </c>
      <c r="B106" s="27" t="s">
        <v>27</v>
      </c>
      <c r="C106" s="27" t="s">
        <v>122</v>
      </c>
      <c r="D106" s="20" t="s">
        <v>123</v>
      </c>
      <c r="E106" s="27" t="s">
        <v>30</v>
      </c>
      <c r="F106" s="27">
        <v>13.0</v>
      </c>
      <c r="G106" s="27">
        <v>13.0</v>
      </c>
      <c r="H106" s="27">
        <v>520.0</v>
      </c>
      <c r="I106" s="27" t="s">
        <v>188</v>
      </c>
      <c r="J106" s="27">
        <v>49.23</v>
      </c>
      <c r="K106" s="27">
        <v>140.89</v>
      </c>
      <c r="L106" s="27">
        <v>52.0</v>
      </c>
      <c r="M106" s="27">
        <v>14.0</v>
      </c>
      <c r="N106" s="27">
        <v>5.0</v>
      </c>
      <c r="O106" s="27">
        <v>0.0</v>
      </c>
      <c r="P106" s="27">
        <v>3.0</v>
      </c>
      <c r="Q106" s="27">
        <v>0.0</v>
      </c>
      <c r="R106" s="27">
        <v>0.0</v>
      </c>
      <c r="S106" s="27">
        <v>0.0</v>
      </c>
      <c r="T106" s="27">
        <v>0.0</v>
      </c>
      <c r="U106" s="27">
        <v>0.0</v>
      </c>
      <c r="V106" s="27" t="s">
        <v>32</v>
      </c>
      <c r="W106" s="27">
        <v>10.0</v>
      </c>
      <c r="X106" s="27" t="s">
        <v>33</v>
      </c>
      <c r="Y106" s="6" t="str">
        <f t="shared" si="1"/>
        <v>Indian</v>
      </c>
      <c r="Z106" s="6"/>
      <c r="AA106" s="6"/>
    </row>
    <row r="107">
      <c r="A107" s="28">
        <v>2025.0</v>
      </c>
      <c r="B107" s="29" t="s">
        <v>189</v>
      </c>
      <c r="C107" s="29" t="s">
        <v>126</v>
      </c>
      <c r="D107" s="21" t="s">
        <v>127</v>
      </c>
      <c r="E107" s="29" t="s">
        <v>37</v>
      </c>
      <c r="F107" s="29">
        <v>16.0</v>
      </c>
      <c r="G107" s="29">
        <v>16.0</v>
      </c>
      <c r="H107" s="29">
        <v>759.0</v>
      </c>
      <c r="I107" s="29" t="s">
        <v>190</v>
      </c>
      <c r="J107" s="29">
        <v>54.21</v>
      </c>
      <c r="K107" s="29">
        <v>156.91</v>
      </c>
      <c r="L107" s="29">
        <v>88.0</v>
      </c>
      <c r="M107" s="29">
        <v>22.0</v>
      </c>
      <c r="N107" s="29">
        <v>6.0</v>
      </c>
      <c r="O107" s="29">
        <v>1.0</v>
      </c>
      <c r="P107" s="29">
        <v>2.0</v>
      </c>
      <c r="Q107" s="29">
        <v>0.0</v>
      </c>
      <c r="R107" s="29">
        <v>0.0</v>
      </c>
      <c r="S107" s="29">
        <v>0.0</v>
      </c>
      <c r="T107" s="29">
        <v>0.0</v>
      </c>
      <c r="U107" s="29">
        <v>0.0</v>
      </c>
      <c r="V107" s="29" t="s">
        <v>32</v>
      </c>
      <c r="W107" s="29">
        <v>12.0</v>
      </c>
      <c r="X107" s="29" t="s">
        <v>33</v>
      </c>
      <c r="Y107" s="6" t="str">
        <f t="shared" si="1"/>
        <v>Indian</v>
      </c>
      <c r="Z107" s="6"/>
      <c r="AA107" s="6"/>
    </row>
    <row r="108">
      <c r="A108" s="28">
        <v>2025.0</v>
      </c>
      <c r="B108" s="29" t="s">
        <v>129</v>
      </c>
      <c r="C108" s="29" t="s">
        <v>126</v>
      </c>
      <c r="D108" s="21" t="s">
        <v>127</v>
      </c>
      <c r="E108" s="29" t="s">
        <v>37</v>
      </c>
      <c r="F108" s="29">
        <v>14.0</v>
      </c>
      <c r="G108" s="29">
        <v>14.0</v>
      </c>
      <c r="H108" s="29">
        <v>649.0</v>
      </c>
      <c r="I108" s="29" t="s">
        <v>191</v>
      </c>
      <c r="J108" s="29">
        <v>54.08</v>
      </c>
      <c r="K108" s="29">
        <v>156.38</v>
      </c>
      <c r="L108" s="29">
        <v>62.0</v>
      </c>
      <c r="M108" s="29">
        <v>24.0</v>
      </c>
      <c r="N108" s="29">
        <v>6.0</v>
      </c>
      <c r="O108" s="29">
        <v>0.0</v>
      </c>
      <c r="P108" s="29">
        <v>2.0</v>
      </c>
      <c r="Q108" s="29">
        <v>0.0</v>
      </c>
      <c r="R108" s="29">
        <v>0.0</v>
      </c>
      <c r="S108" s="29">
        <v>0.0</v>
      </c>
      <c r="T108" s="29">
        <v>0.0</v>
      </c>
      <c r="U108" s="29">
        <v>0.0</v>
      </c>
      <c r="V108" s="29" t="s">
        <v>32</v>
      </c>
      <c r="W108" s="29">
        <v>8.0</v>
      </c>
      <c r="X108" s="29" t="s">
        <v>33</v>
      </c>
      <c r="Y108" s="6" t="str">
        <f t="shared" si="1"/>
        <v>Indian</v>
      </c>
      <c r="Z108" s="6"/>
      <c r="AA108" s="6"/>
    </row>
    <row r="109">
      <c r="A109" s="28">
        <v>2025.0</v>
      </c>
      <c r="B109" s="29" t="s">
        <v>98</v>
      </c>
      <c r="C109" s="29" t="s">
        <v>44</v>
      </c>
      <c r="D109" s="9" t="s">
        <v>45</v>
      </c>
      <c r="E109" s="29" t="s">
        <v>37</v>
      </c>
      <c r="F109" s="29">
        <v>14.0</v>
      </c>
      <c r="G109" s="29">
        <v>14.0</v>
      </c>
      <c r="H109" s="29">
        <v>640.0</v>
      </c>
      <c r="I109" s="29" t="s">
        <v>192</v>
      </c>
      <c r="J109" s="29">
        <v>71.11</v>
      </c>
      <c r="K109" s="29">
        <v>167.97</v>
      </c>
      <c r="L109" s="29">
        <v>64.0</v>
      </c>
      <c r="M109" s="29">
        <v>32.0</v>
      </c>
      <c r="N109" s="29">
        <v>5.0</v>
      </c>
      <c r="O109" s="29">
        <v>0.0</v>
      </c>
      <c r="P109" s="29">
        <v>5.0</v>
      </c>
      <c r="Q109" s="29">
        <v>0.0</v>
      </c>
      <c r="R109" s="29">
        <v>0.0</v>
      </c>
      <c r="S109" s="29">
        <v>0.0</v>
      </c>
      <c r="T109" s="29">
        <v>0.0</v>
      </c>
      <c r="U109" s="29">
        <v>0.0</v>
      </c>
      <c r="V109" s="29" t="s">
        <v>32</v>
      </c>
      <c r="W109" s="29">
        <v>10.0</v>
      </c>
      <c r="X109" s="29" t="s">
        <v>33</v>
      </c>
      <c r="Y109" s="6" t="str">
        <f t="shared" si="1"/>
        <v>Indian</v>
      </c>
      <c r="Z109" s="6"/>
      <c r="AA109" s="6"/>
    </row>
    <row r="110">
      <c r="A110" s="28">
        <v>2025.0</v>
      </c>
      <c r="B110" s="29" t="s">
        <v>193</v>
      </c>
      <c r="C110" s="29" t="s">
        <v>122</v>
      </c>
      <c r="D110" s="20" t="s">
        <v>123</v>
      </c>
      <c r="E110" s="29" t="s">
        <v>63</v>
      </c>
      <c r="F110" s="29">
        <v>13.0</v>
      </c>
      <c r="G110" s="29">
        <v>13.0</v>
      </c>
      <c r="H110" s="29">
        <v>627.0</v>
      </c>
      <c r="I110" s="29">
        <v>117.0</v>
      </c>
      <c r="J110" s="29">
        <v>48.23</v>
      </c>
      <c r="K110" s="29">
        <v>163.7</v>
      </c>
      <c r="L110" s="29">
        <v>56.0</v>
      </c>
      <c r="M110" s="29">
        <v>37.0</v>
      </c>
      <c r="N110" s="29">
        <v>6.0</v>
      </c>
      <c r="O110" s="29">
        <v>1.0</v>
      </c>
      <c r="P110" s="29">
        <v>0.0</v>
      </c>
      <c r="Q110" s="29">
        <v>8.0</v>
      </c>
      <c r="R110" s="29">
        <v>32.0</v>
      </c>
      <c r="S110" s="29">
        <v>9.8</v>
      </c>
      <c r="T110" s="29">
        <v>39.25</v>
      </c>
      <c r="U110" s="29">
        <v>24.0</v>
      </c>
      <c r="V110" s="29" t="s">
        <v>194</v>
      </c>
      <c r="W110" s="29">
        <v>9.0</v>
      </c>
      <c r="X110" s="29" t="s">
        <v>42</v>
      </c>
      <c r="Y110" s="6" t="str">
        <f t="shared" si="1"/>
        <v>Overseas</v>
      </c>
      <c r="Z110" s="6"/>
      <c r="AA110" s="6"/>
    </row>
    <row r="111">
      <c r="A111" s="28">
        <v>2025.0</v>
      </c>
      <c r="B111" s="29" t="s">
        <v>100</v>
      </c>
      <c r="C111" s="29" t="s">
        <v>49</v>
      </c>
      <c r="D111" s="11" t="s">
        <v>50</v>
      </c>
      <c r="E111" s="29" t="s">
        <v>37</v>
      </c>
      <c r="F111" s="29">
        <v>16.0</v>
      </c>
      <c r="G111" s="29">
        <v>16.0</v>
      </c>
      <c r="H111" s="29">
        <v>741.0</v>
      </c>
      <c r="I111" s="29" t="s">
        <v>192</v>
      </c>
      <c r="J111" s="29">
        <v>61.75</v>
      </c>
      <c r="K111" s="29">
        <v>149.09</v>
      </c>
      <c r="L111" s="29">
        <v>72.0</v>
      </c>
      <c r="M111" s="29">
        <v>23.0</v>
      </c>
      <c r="N111" s="29">
        <v>8.0</v>
      </c>
      <c r="O111" s="29">
        <v>0.0</v>
      </c>
      <c r="P111" s="29">
        <v>4.0</v>
      </c>
      <c r="Q111" s="29">
        <v>0.0</v>
      </c>
      <c r="R111" s="29">
        <v>0.0</v>
      </c>
      <c r="S111" s="29">
        <v>0.0</v>
      </c>
      <c r="T111" s="29">
        <v>0.0</v>
      </c>
      <c r="U111" s="29">
        <v>0.0</v>
      </c>
      <c r="V111" s="29" t="s">
        <v>32</v>
      </c>
      <c r="W111" s="29">
        <v>14.0</v>
      </c>
      <c r="X111" s="29" t="s">
        <v>33</v>
      </c>
      <c r="Y111" s="6" t="str">
        <f t="shared" si="1"/>
        <v>Indian</v>
      </c>
      <c r="Z111" s="6"/>
      <c r="AA111" s="6"/>
    </row>
    <row r="112">
      <c r="A112" s="28">
        <v>2025.0</v>
      </c>
      <c r="B112" s="29" t="s">
        <v>154</v>
      </c>
      <c r="C112" s="29" t="s">
        <v>59</v>
      </c>
      <c r="D112" s="13" t="s">
        <v>60</v>
      </c>
      <c r="E112" s="29" t="s">
        <v>37</v>
      </c>
      <c r="F112" s="29">
        <v>14.0</v>
      </c>
      <c r="G112" s="29">
        <v>14.0</v>
      </c>
      <c r="H112" s="29">
        <v>559.0</v>
      </c>
      <c r="I112" s="29">
        <v>75.0</v>
      </c>
      <c r="J112" s="29">
        <v>43.0</v>
      </c>
      <c r="K112" s="29">
        <v>159.71</v>
      </c>
      <c r="L112" s="29">
        <v>60.0</v>
      </c>
      <c r="M112" s="29">
        <v>28.0</v>
      </c>
      <c r="N112" s="29">
        <v>6.0</v>
      </c>
      <c r="O112" s="29">
        <v>0.0</v>
      </c>
      <c r="P112" s="29">
        <v>1.0</v>
      </c>
      <c r="Q112" s="29">
        <v>0.0</v>
      </c>
      <c r="R112" s="29">
        <v>0.0</v>
      </c>
      <c r="S112" s="29">
        <v>0.0</v>
      </c>
      <c r="T112" s="29">
        <v>0.0</v>
      </c>
      <c r="U112" s="29">
        <v>0.0</v>
      </c>
      <c r="V112" s="29" t="s">
        <v>32</v>
      </c>
      <c r="W112" s="29">
        <v>7.0</v>
      </c>
      <c r="X112" s="29" t="s">
        <v>33</v>
      </c>
      <c r="Y112" s="6" t="str">
        <f t="shared" si="1"/>
        <v>Indian</v>
      </c>
      <c r="Z112" s="6"/>
      <c r="AA112" s="6"/>
    </row>
    <row r="113">
      <c r="A113" s="28">
        <v>2025.0</v>
      </c>
      <c r="B113" s="29" t="s">
        <v>27</v>
      </c>
      <c r="C113" s="29" t="s">
        <v>35</v>
      </c>
      <c r="D113" s="7" t="s">
        <v>36</v>
      </c>
      <c r="E113" s="29" t="s">
        <v>30</v>
      </c>
      <c r="F113" s="29">
        <v>13.0</v>
      </c>
      <c r="G113" s="29">
        <v>13.0</v>
      </c>
      <c r="H113" s="29">
        <v>539.0</v>
      </c>
      <c r="I113" s="29" t="s">
        <v>151</v>
      </c>
      <c r="J113" s="29">
        <v>53.9</v>
      </c>
      <c r="K113" s="29">
        <v>149.72</v>
      </c>
      <c r="L113" s="29">
        <v>52.0</v>
      </c>
      <c r="M113" s="29">
        <v>21.0</v>
      </c>
      <c r="N113" s="29">
        <v>3.0</v>
      </c>
      <c r="O113" s="29">
        <v>1.0</v>
      </c>
      <c r="P113" s="29">
        <v>3.0</v>
      </c>
      <c r="Q113" s="29">
        <v>0.0</v>
      </c>
      <c r="R113" s="29">
        <v>0.0</v>
      </c>
      <c r="S113" s="29">
        <v>0.0</v>
      </c>
      <c r="T113" s="29">
        <v>0.0</v>
      </c>
      <c r="U113" s="29">
        <v>0.0</v>
      </c>
      <c r="V113" s="29" t="s">
        <v>32</v>
      </c>
      <c r="W113" s="29">
        <v>11.0</v>
      </c>
      <c r="X113" s="29" t="s">
        <v>33</v>
      </c>
      <c r="Y113" s="6" t="str">
        <f t="shared" si="1"/>
        <v>Indian</v>
      </c>
      <c r="Z113" s="6"/>
      <c r="AA113" s="6"/>
    </row>
    <row r="114">
      <c r="A114" s="28">
        <v>2025.0</v>
      </c>
      <c r="B114" s="29" t="s">
        <v>120</v>
      </c>
      <c r="C114" s="29" t="s">
        <v>126</v>
      </c>
      <c r="D114" s="21" t="s">
        <v>127</v>
      </c>
      <c r="E114" s="29" t="s">
        <v>30</v>
      </c>
      <c r="F114" s="29">
        <v>14.0</v>
      </c>
      <c r="G114" s="29">
        <v>13.0</v>
      </c>
      <c r="H114" s="29">
        <v>538.0</v>
      </c>
      <c r="I114" s="29" t="s">
        <v>195</v>
      </c>
      <c r="J114" s="29">
        <v>59.78</v>
      </c>
      <c r="K114" s="29">
        <v>163.03</v>
      </c>
      <c r="L114" s="29">
        <v>52.0</v>
      </c>
      <c r="M114" s="29">
        <v>24.0</v>
      </c>
      <c r="N114" s="29">
        <v>5.0</v>
      </c>
      <c r="O114" s="29">
        <v>0.0</v>
      </c>
      <c r="P114" s="29">
        <v>4.0</v>
      </c>
      <c r="Q114" s="29">
        <v>0.0</v>
      </c>
      <c r="R114" s="29">
        <v>0.0</v>
      </c>
      <c r="S114" s="29">
        <v>0.0</v>
      </c>
      <c r="T114" s="29">
        <v>0.0</v>
      </c>
      <c r="U114" s="29">
        <v>0.0</v>
      </c>
      <c r="V114" s="29" t="s">
        <v>32</v>
      </c>
      <c r="W114" s="29">
        <v>11.0</v>
      </c>
      <c r="X114" s="29" t="s">
        <v>91</v>
      </c>
      <c r="Y114" s="6" t="str">
        <f t="shared" si="1"/>
        <v>Overseas</v>
      </c>
      <c r="Z114" s="6"/>
      <c r="AA114" s="6"/>
    </row>
    <row r="115">
      <c r="A115" s="28">
        <v>2025.0</v>
      </c>
      <c r="B115" s="29" t="s">
        <v>196</v>
      </c>
      <c r="C115" s="29" t="s">
        <v>122</v>
      </c>
      <c r="D115" s="20" t="s">
        <v>123</v>
      </c>
      <c r="E115" s="29" t="s">
        <v>30</v>
      </c>
      <c r="F115" s="29">
        <v>14.0</v>
      </c>
      <c r="G115" s="29">
        <v>14.0</v>
      </c>
      <c r="H115" s="29">
        <v>524.0</v>
      </c>
      <c r="I115" s="29" t="s">
        <v>56</v>
      </c>
      <c r="J115" s="29">
        <v>43.67</v>
      </c>
      <c r="K115" s="29">
        <v>196.25</v>
      </c>
      <c r="L115" s="29">
        <v>45.0</v>
      </c>
      <c r="M115" s="29">
        <v>40.0</v>
      </c>
      <c r="N115" s="29">
        <v>5.0</v>
      </c>
      <c r="O115" s="29">
        <v>0.0</v>
      </c>
      <c r="P115" s="29">
        <v>2.0</v>
      </c>
      <c r="Q115" s="29">
        <v>0.0</v>
      </c>
      <c r="R115" s="29">
        <v>0.0</v>
      </c>
      <c r="S115" s="29">
        <v>0.0</v>
      </c>
      <c r="T115" s="29">
        <v>0.0</v>
      </c>
      <c r="U115" s="29">
        <v>0.0</v>
      </c>
      <c r="V115" s="29" t="s">
        <v>32</v>
      </c>
      <c r="W115" s="29">
        <v>13.0</v>
      </c>
      <c r="X115" s="29" t="s">
        <v>67</v>
      </c>
      <c r="Y115" s="6" t="str">
        <f t="shared" si="1"/>
        <v>Overseas</v>
      </c>
      <c r="Z115" s="6"/>
      <c r="AA115" s="6"/>
    </row>
    <row r="116">
      <c r="A116" s="28">
        <v>2025.0</v>
      </c>
      <c r="B116" s="29" t="s">
        <v>197</v>
      </c>
      <c r="C116" s="29" t="s">
        <v>122</v>
      </c>
      <c r="D116" s="20" t="s">
        <v>123</v>
      </c>
      <c r="E116" s="29" t="s">
        <v>30</v>
      </c>
      <c r="F116" s="29">
        <v>14.0</v>
      </c>
      <c r="G116" s="29">
        <v>14.0</v>
      </c>
      <c r="H116" s="29">
        <v>498.0</v>
      </c>
      <c r="I116" s="29" t="s">
        <v>198</v>
      </c>
      <c r="J116" s="29">
        <v>38.3</v>
      </c>
      <c r="K116" s="29">
        <v>163.93</v>
      </c>
      <c r="L116" s="29">
        <v>42.0</v>
      </c>
      <c r="M116" s="29">
        <v>28.0</v>
      </c>
      <c r="N116" s="29">
        <v>4.0</v>
      </c>
      <c r="O116" s="29">
        <v>1.0</v>
      </c>
      <c r="P116" s="29">
        <v>1.0</v>
      </c>
      <c r="Q116" s="29">
        <v>0.0</v>
      </c>
      <c r="R116" s="29">
        <v>0.0</v>
      </c>
      <c r="S116" s="29">
        <v>0.0</v>
      </c>
      <c r="T116" s="29">
        <v>0.0</v>
      </c>
      <c r="U116" s="29">
        <v>0.0</v>
      </c>
      <c r="V116" s="29" t="s">
        <v>32</v>
      </c>
      <c r="W116" s="29">
        <v>15.0</v>
      </c>
      <c r="X116" s="29" t="s">
        <v>33</v>
      </c>
      <c r="Y116" s="6" t="str">
        <f t="shared" si="1"/>
        <v>Indian</v>
      </c>
      <c r="Z116" s="6"/>
      <c r="AA116" s="6"/>
    </row>
    <row r="117">
      <c r="A117" s="28">
        <v>2025.0</v>
      </c>
      <c r="B117" s="29" t="s">
        <v>199</v>
      </c>
      <c r="C117" s="29" t="s">
        <v>126</v>
      </c>
      <c r="D117" s="21" t="s">
        <v>127</v>
      </c>
      <c r="E117" s="29" t="s">
        <v>69</v>
      </c>
      <c r="F117" s="29">
        <v>15.0</v>
      </c>
      <c r="G117" s="29">
        <v>3.0</v>
      </c>
      <c r="H117" s="29">
        <v>12.0</v>
      </c>
      <c r="I117" s="29">
        <v>9.0</v>
      </c>
      <c r="J117" s="29">
        <v>6.0</v>
      </c>
      <c r="K117" s="29">
        <v>80.0</v>
      </c>
      <c r="L117" s="29">
        <v>0.0</v>
      </c>
      <c r="M117" s="29">
        <v>0.0</v>
      </c>
      <c r="N117" s="29">
        <v>0.0</v>
      </c>
      <c r="O117" s="29">
        <v>0.0</v>
      </c>
      <c r="P117" s="29">
        <v>0.0</v>
      </c>
      <c r="Q117" s="29">
        <v>25.0</v>
      </c>
      <c r="R117" s="29">
        <v>57.0</v>
      </c>
      <c r="S117" s="29">
        <v>7.2</v>
      </c>
      <c r="T117" s="29">
        <v>19.52</v>
      </c>
      <c r="U117" s="29">
        <v>16.44</v>
      </c>
      <c r="V117" s="29" t="s">
        <v>115</v>
      </c>
      <c r="W117" s="29">
        <v>6.0</v>
      </c>
      <c r="X117" s="29" t="s">
        <v>33</v>
      </c>
      <c r="Y117" s="6" t="str">
        <f t="shared" si="1"/>
        <v>Indian</v>
      </c>
      <c r="Z117" s="6"/>
      <c r="AA117" s="6"/>
    </row>
    <row r="118">
      <c r="A118" s="28">
        <v>2025.0</v>
      </c>
      <c r="B118" s="29" t="s">
        <v>200</v>
      </c>
      <c r="C118" s="29" t="s">
        <v>54</v>
      </c>
      <c r="D118" s="12" t="s">
        <v>55</v>
      </c>
      <c r="E118" s="29" t="s">
        <v>69</v>
      </c>
      <c r="F118" s="29">
        <v>14.0</v>
      </c>
      <c r="G118" s="29">
        <v>2.0</v>
      </c>
      <c r="H118" s="29">
        <v>6.0</v>
      </c>
      <c r="I118" s="29">
        <v>4.0</v>
      </c>
      <c r="J118" s="29">
        <v>3.0</v>
      </c>
      <c r="K118" s="29">
        <v>75.0</v>
      </c>
      <c r="L118" s="29">
        <v>0.0</v>
      </c>
      <c r="M118" s="29">
        <v>0.0</v>
      </c>
      <c r="N118" s="29">
        <v>0.0</v>
      </c>
      <c r="O118" s="29">
        <v>0.0</v>
      </c>
      <c r="P118" s="29">
        <v>0.0</v>
      </c>
      <c r="Q118" s="29">
        <v>24.0</v>
      </c>
      <c r="R118" s="29">
        <v>50.0</v>
      </c>
      <c r="S118" s="29">
        <v>8.16</v>
      </c>
      <c r="T118" s="29">
        <v>17.0</v>
      </c>
      <c r="U118" s="29">
        <v>12.5</v>
      </c>
      <c r="V118" s="29" t="s">
        <v>72</v>
      </c>
      <c r="W118" s="29">
        <v>8.0</v>
      </c>
      <c r="X118" s="29" t="s">
        <v>81</v>
      </c>
      <c r="Y118" s="6" t="str">
        <f t="shared" si="1"/>
        <v>Overseas</v>
      </c>
      <c r="Z118" s="6"/>
      <c r="AA118" s="6"/>
    </row>
    <row r="119">
      <c r="A119" s="28">
        <v>2025.0</v>
      </c>
      <c r="B119" s="29" t="s">
        <v>73</v>
      </c>
      <c r="C119" s="29" t="s">
        <v>59</v>
      </c>
      <c r="D119" s="13" t="s">
        <v>60</v>
      </c>
      <c r="E119" s="29" t="s">
        <v>69</v>
      </c>
      <c r="F119" s="29">
        <v>14.0</v>
      </c>
      <c r="G119" s="29">
        <v>1.0</v>
      </c>
      <c r="H119" s="29">
        <v>2.0</v>
      </c>
      <c r="I119" s="29">
        <v>2.0</v>
      </c>
      <c r="J119" s="29">
        <v>2.0</v>
      </c>
      <c r="K119" s="29">
        <v>100.0</v>
      </c>
      <c r="L119" s="29">
        <v>0.0</v>
      </c>
      <c r="M119" s="29">
        <v>0.0</v>
      </c>
      <c r="N119" s="29">
        <v>0.0</v>
      </c>
      <c r="O119" s="29">
        <v>0.0</v>
      </c>
      <c r="P119" s="29">
        <v>0.0</v>
      </c>
      <c r="Q119" s="29">
        <v>19.0</v>
      </c>
      <c r="R119" s="29">
        <v>49.4</v>
      </c>
      <c r="S119" s="29">
        <v>8.54</v>
      </c>
      <c r="T119" s="29">
        <v>22.26</v>
      </c>
      <c r="U119" s="29">
        <v>15.68</v>
      </c>
      <c r="V119" s="29" t="s">
        <v>201</v>
      </c>
      <c r="W119" s="29">
        <v>4.0</v>
      </c>
      <c r="X119" s="29" t="s">
        <v>75</v>
      </c>
      <c r="Y119" s="6" t="str">
        <f t="shared" si="1"/>
        <v>Overseas</v>
      </c>
      <c r="Z119" s="6"/>
      <c r="AA119" s="6"/>
    </row>
    <row r="120">
      <c r="A120" s="28">
        <v>2025.0</v>
      </c>
      <c r="B120" s="29" t="s">
        <v>112</v>
      </c>
      <c r="C120" s="29" t="s">
        <v>94</v>
      </c>
      <c r="D120" s="5" t="s">
        <v>95</v>
      </c>
      <c r="E120" s="29" t="s">
        <v>69</v>
      </c>
      <c r="F120" s="29">
        <v>14.0</v>
      </c>
      <c r="G120" s="29">
        <v>2.0</v>
      </c>
      <c r="H120" s="29">
        <v>12.0</v>
      </c>
      <c r="I120" s="29">
        <v>8.0</v>
      </c>
      <c r="J120" s="29">
        <v>6.0</v>
      </c>
      <c r="K120" s="29">
        <v>75.0</v>
      </c>
      <c r="L120" s="29">
        <v>1.0</v>
      </c>
      <c r="M120" s="29">
        <v>0.0</v>
      </c>
      <c r="N120" s="29">
        <v>0.0</v>
      </c>
      <c r="O120" s="29">
        <v>0.0</v>
      </c>
      <c r="P120" s="29">
        <v>0.0</v>
      </c>
      <c r="Q120" s="29">
        <v>18.0</v>
      </c>
      <c r="R120" s="29">
        <v>48.2</v>
      </c>
      <c r="S120" s="29">
        <v>8.55</v>
      </c>
      <c r="T120" s="29">
        <v>23.0</v>
      </c>
      <c r="U120" s="29">
        <v>16.1</v>
      </c>
      <c r="V120" s="29" t="s">
        <v>85</v>
      </c>
      <c r="W120" s="29">
        <v>4.0</v>
      </c>
      <c r="X120" s="29" t="s">
        <v>33</v>
      </c>
      <c r="Y120" s="6" t="str">
        <f t="shared" si="1"/>
        <v>Indian</v>
      </c>
      <c r="Z120" s="6"/>
      <c r="AA120" s="6"/>
    </row>
    <row r="121">
      <c r="A121" s="28">
        <v>2025.0</v>
      </c>
      <c r="B121" s="29" t="s">
        <v>68</v>
      </c>
      <c r="C121" s="29" t="s">
        <v>44</v>
      </c>
      <c r="D121" s="9" t="s">
        <v>45</v>
      </c>
      <c r="E121" s="29" t="s">
        <v>69</v>
      </c>
      <c r="F121" s="29">
        <v>10.0</v>
      </c>
      <c r="G121" s="29">
        <v>1.0</v>
      </c>
      <c r="H121" s="29">
        <v>3.0</v>
      </c>
      <c r="I121" s="29">
        <v>3.0</v>
      </c>
      <c r="J121" s="29">
        <v>3.0</v>
      </c>
      <c r="K121" s="29">
        <v>100.0</v>
      </c>
      <c r="L121" s="29">
        <v>0.0</v>
      </c>
      <c r="M121" s="29">
        <v>0.0</v>
      </c>
      <c r="N121" s="29">
        <v>0.0</v>
      </c>
      <c r="O121" s="29">
        <v>0.0</v>
      </c>
      <c r="P121" s="29">
        <v>0.0</v>
      </c>
      <c r="Q121" s="29">
        <v>17.0</v>
      </c>
      <c r="R121" s="29">
        <v>39.2</v>
      </c>
      <c r="S121" s="29">
        <v>6.34</v>
      </c>
      <c r="T121" s="29">
        <v>14.64</v>
      </c>
      <c r="U121" s="29">
        <v>13.88</v>
      </c>
      <c r="V121" s="29" t="s">
        <v>65</v>
      </c>
      <c r="W121" s="29">
        <v>4.0</v>
      </c>
      <c r="X121" s="29" t="s">
        <v>33</v>
      </c>
      <c r="Y121" s="6" t="str">
        <f t="shared" si="1"/>
        <v>Indian</v>
      </c>
      <c r="Z121" s="6"/>
      <c r="AA121" s="6"/>
    </row>
    <row r="122">
      <c r="A122" s="28">
        <v>2025.0</v>
      </c>
      <c r="B122" s="29" t="s">
        <v>202</v>
      </c>
      <c r="C122" s="29" t="s">
        <v>49</v>
      </c>
      <c r="D122" s="11" t="s">
        <v>50</v>
      </c>
      <c r="E122" s="29" t="s">
        <v>69</v>
      </c>
      <c r="F122" s="29">
        <v>10.0</v>
      </c>
      <c r="G122" s="29">
        <v>2.0</v>
      </c>
      <c r="H122" s="29">
        <v>6.0</v>
      </c>
      <c r="I122" s="29">
        <v>4.0</v>
      </c>
      <c r="J122" s="29">
        <v>3.0</v>
      </c>
      <c r="K122" s="29">
        <v>100.0</v>
      </c>
      <c r="L122" s="29">
        <v>0.0</v>
      </c>
      <c r="M122" s="29">
        <v>0.0</v>
      </c>
      <c r="N122" s="29">
        <v>0.0</v>
      </c>
      <c r="O122" s="29">
        <v>0.0</v>
      </c>
      <c r="P122" s="29">
        <v>0.0</v>
      </c>
      <c r="Q122" s="29">
        <v>22.0</v>
      </c>
      <c r="R122" s="29">
        <v>36.5</v>
      </c>
      <c r="S122" s="29">
        <v>8.46</v>
      </c>
      <c r="T122" s="29">
        <v>17.27</v>
      </c>
      <c r="U122" s="29">
        <v>10.09</v>
      </c>
      <c r="V122" s="29" t="s">
        <v>203</v>
      </c>
      <c r="W122" s="29">
        <v>4.0</v>
      </c>
      <c r="X122" s="29" t="s">
        <v>42</v>
      </c>
      <c r="Y122" s="6" t="str">
        <f t="shared" si="1"/>
        <v>Overseas</v>
      </c>
      <c r="Z122" s="6"/>
      <c r="AA122" s="6"/>
    </row>
    <row r="123">
      <c r="A123" s="28">
        <v>2025.0</v>
      </c>
      <c r="B123" s="29" t="s">
        <v>204</v>
      </c>
      <c r="C123" s="29" t="s">
        <v>108</v>
      </c>
      <c r="D123" s="17" t="s">
        <v>109</v>
      </c>
      <c r="E123" s="29" t="s">
        <v>69</v>
      </c>
      <c r="F123" s="29">
        <v>13.0</v>
      </c>
      <c r="G123" s="29">
        <v>2.0</v>
      </c>
      <c r="H123" s="29">
        <v>8.0</v>
      </c>
      <c r="I123" s="29">
        <v>6.0</v>
      </c>
      <c r="J123" s="29">
        <v>4.0</v>
      </c>
      <c r="K123" s="29">
        <v>80.0</v>
      </c>
      <c r="L123" s="29">
        <v>0.0</v>
      </c>
      <c r="M123" s="29">
        <v>0.0</v>
      </c>
      <c r="N123" s="29">
        <v>0.0</v>
      </c>
      <c r="O123" s="29">
        <v>0.0</v>
      </c>
      <c r="P123" s="29">
        <v>0.0</v>
      </c>
      <c r="Q123" s="29">
        <v>17.0</v>
      </c>
      <c r="R123" s="29">
        <v>50.0</v>
      </c>
      <c r="S123" s="29">
        <v>7.66</v>
      </c>
      <c r="T123" s="29">
        <v>22.52</v>
      </c>
      <c r="U123" s="29">
        <v>17.64</v>
      </c>
      <c r="V123" s="29" t="s">
        <v>85</v>
      </c>
      <c r="W123" s="29">
        <v>7.0</v>
      </c>
      <c r="X123" s="29" t="s">
        <v>33</v>
      </c>
      <c r="Y123" s="6" t="str">
        <f t="shared" si="1"/>
        <v>Indian</v>
      </c>
      <c r="Z123" s="6"/>
      <c r="AA123" s="6"/>
    </row>
    <row r="124">
      <c r="A124" s="28">
        <v>2025.0</v>
      </c>
      <c r="B124" s="29" t="s">
        <v>146</v>
      </c>
      <c r="C124" s="29" t="s">
        <v>35</v>
      </c>
      <c r="D124" s="7" t="s">
        <v>36</v>
      </c>
      <c r="E124" s="29" t="s">
        <v>69</v>
      </c>
      <c r="F124" s="29">
        <v>14.0</v>
      </c>
      <c r="G124" s="29">
        <v>2.0</v>
      </c>
      <c r="H124" s="29">
        <v>6.0</v>
      </c>
      <c r="I124" s="29">
        <v>4.0</v>
      </c>
      <c r="J124" s="29">
        <v>3.0</v>
      </c>
      <c r="K124" s="29">
        <v>75.0</v>
      </c>
      <c r="L124" s="29">
        <v>0.0</v>
      </c>
      <c r="M124" s="29">
        <v>0.0</v>
      </c>
      <c r="N124" s="29">
        <v>0.0</v>
      </c>
      <c r="O124" s="29">
        <v>0.0</v>
      </c>
      <c r="P124" s="29">
        <v>0.0</v>
      </c>
      <c r="Q124" s="29">
        <v>21.0</v>
      </c>
      <c r="R124" s="29">
        <v>52.0</v>
      </c>
      <c r="S124" s="29">
        <v>7.38</v>
      </c>
      <c r="T124" s="29">
        <v>18.28</v>
      </c>
      <c r="U124" s="29">
        <v>14.85</v>
      </c>
      <c r="V124" s="29" t="s">
        <v>205</v>
      </c>
      <c r="W124" s="29">
        <v>9.0</v>
      </c>
      <c r="X124" s="29" t="s">
        <v>33</v>
      </c>
      <c r="Y124" s="6" t="str">
        <f t="shared" si="1"/>
        <v>Indian</v>
      </c>
      <c r="Z124" s="6"/>
      <c r="AA124" s="6"/>
    </row>
    <row r="125">
      <c r="A125" s="28">
        <v>2025.0</v>
      </c>
      <c r="B125" s="29" t="s">
        <v>164</v>
      </c>
      <c r="C125" s="29" t="s">
        <v>54</v>
      </c>
      <c r="D125" s="12" t="s">
        <v>55</v>
      </c>
      <c r="E125" s="29" t="s">
        <v>63</v>
      </c>
      <c r="F125" s="29">
        <v>14.0</v>
      </c>
      <c r="G125" s="29">
        <v>12.0</v>
      </c>
      <c r="H125" s="29">
        <v>248.0</v>
      </c>
      <c r="I125" s="29">
        <v>54.0</v>
      </c>
      <c r="J125" s="29">
        <v>24.8</v>
      </c>
      <c r="K125" s="29">
        <v>136.26</v>
      </c>
      <c r="L125" s="29">
        <v>22.0</v>
      </c>
      <c r="M125" s="29">
        <v>12.0</v>
      </c>
      <c r="N125" s="29">
        <v>1.0</v>
      </c>
      <c r="O125" s="29">
        <v>0.0</v>
      </c>
      <c r="P125" s="29">
        <v>2.0</v>
      </c>
      <c r="Q125" s="29">
        <v>12.0</v>
      </c>
      <c r="R125" s="29">
        <v>52.0</v>
      </c>
      <c r="S125" s="29">
        <v>7.84</v>
      </c>
      <c r="T125" s="29">
        <v>33.98</v>
      </c>
      <c r="U125" s="29">
        <v>26.0</v>
      </c>
      <c r="V125" s="29" t="s">
        <v>203</v>
      </c>
      <c r="W125" s="29">
        <v>10.0</v>
      </c>
      <c r="X125" s="29" t="s">
        <v>33</v>
      </c>
      <c r="Y125" s="6" t="str">
        <f t="shared" si="1"/>
        <v>Indian</v>
      </c>
      <c r="Z125" s="6"/>
      <c r="AA125" s="6"/>
    </row>
    <row r="126">
      <c r="A126" s="28">
        <v>2025.0</v>
      </c>
      <c r="B126" s="29" t="s">
        <v>174</v>
      </c>
      <c r="C126" s="29" t="s">
        <v>40</v>
      </c>
      <c r="D126" s="8" t="s">
        <v>41</v>
      </c>
      <c r="E126" s="29" t="s">
        <v>63</v>
      </c>
      <c r="F126" s="29">
        <v>14.0</v>
      </c>
      <c r="G126" s="29">
        <v>13.0</v>
      </c>
      <c r="H126" s="29">
        <v>439.0</v>
      </c>
      <c r="I126" s="29">
        <v>141.0</v>
      </c>
      <c r="J126" s="29">
        <v>33.76</v>
      </c>
      <c r="K126" s="29">
        <v>193.39</v>
      </c>
      <c r="L126" s="29">
        <v>36.0</v>
      </c>
      <c r="M126" s="29">
        <v>28.0</v>
      </c>
      <c r="N126" s="29">
        <v>2.0</v>
      </c>
      <c r="O126" s="29">
        <v>1.0</v>
      </c>
      <c r="P126" s="29">
        <v>0.0</v>
      </c>
      <c r="Q126" s="29">
        <v>6.0</v>
      </c>
      <c r="R126" s="29">
        <v>32.0</v>
      </c>
      <c r="S126" s="29">
        <v>9.31</v>
      </c>
      <c r="T126" s="29">
        <v>49.5</v>
      </c>
      <c r="U126" s="29">
        <v>32.0</v>
      </c>
      <c r="V126" s="29" t="s">
        <v>136</v>
      </c>
      <c r="W126" s="29">
        <v>7.0</v>
      </c>
      <c r="X126" s="29" t="s">
        <v>33</v>
      </c>
      <c r="Y126" s="6" t="str">
        <f t="shared" si="1"/>
        <v>Indian</v>
      </c>
      <c r="Z126" s="6"/>
      <c r="AA126" s="6"/>
    </row>
    <row r="127">
      <c r="A127" s="28">
        <v>2025.0</v>
      </c>
      <c r="B127" s="29" t="s">
        <v>206</v>
      </c>
      <c r="C127" s="29" t="s">
        <v>59</v>
      </c>
      <c r="D127" s="13" t="s">
        <v>60</v>
      </c>
      <c r="E127" s="29" t="s">
        <v>37</v>
      </c>
      <c r="F127" s="29">
        <v>7.0</v>
      </c>
      <c r="G127" s="29">
        <v>7.0</v>
      </c>
      <c r="H127" s="29">
        <v>252.0</v>
      </c>
      <c r="I127" s="29">
        <v>101.0</v>
      </c>
      <c r="J127" s="29">
        <v>36.0</v>
      </c>
      <c r="K127" s="29">
        <v>206.55</v>
      </c>
      <c r="L127" s="29">
        <v>24.0</v>
      </c>
      <c r="M127" s="29">
        <v>22.0</v>
      </c>
      <c r="N127" s="29">
        <v>1.0</v>
      </c>
      <c r="O127" s="29">
        <v>1.0</v>
      </c>
      <c r="P127" s="29">
        <v>0.0</v>
      </c>
      <c r="Q127" s="29">
        <v>0.0</v>
      </c>
      <c r="R127" s="29">
        <v>0.0</v>
      </c>
      <c r="S127" s="29">
        <v>0.0</v>
      </c>
      <c r="T127" s="29">
        <v>0.0</v>
      </c>
      <c r="U127" s="29">
        <v>0.0</v>
      </c>
      <c r="V127" s="29" t="s">
        <v>32</v>
      </c>
      <c r="W127" s="29">
        <v>2.0</v>
      </c>
      <c r="X127" s="29" t="s">
        <v>33</v>
      </c>
      <c r="Y127" s="6" t="str">
        <f t="shared" si="1"/>
        <v>Indian</v>
      </c>
      <c r="Z127" s="6"/>
      <c r="AA127" s="6"/>
    </row>
    <row r="128">
      <c r="A128" s="28">
        <v>2025.0</v>
      </c>
      <c r="B128" s="29" t="s">
        <v>131</v>
      </c>
      <c r="C128" s="29" t="s">
        <v>94</v>
      </c>
      <c r="D128" s="5" t="s">
        <v>95</v>
      </c>
      <c r="E128" s="29" t="s">
        <v>37</v>
      </c>
      <c r="F128" s="29">
        <v>14.0</v>
      </c>
      <c r="G128" s="29">
        <v>14.0</v>
      </c>
      <c r="H128" s="29">
        <v>514.0</v>
      </c>
      <c r="I128" s="29" t="s">
        <v>195</v>
      </c>
      <c r="J128" s="29">
        <v>51.4</v>
      </c>
      <c r="K128" s="29">
        <v>171.9</v>
      </c>
      <c r="L128" s="29">
        <v>38.0</v>
      </c>
      <c r="M128" s="29">
        <v>31.0</v>
      </c>
      <c r="N128" s="29">
        <v>5.0</v>
      </c>
      <c r="O128" s="29">
        <v>0.0</v>
      </c>
      <c r="P128" s="29">
        <v>4.0</v>
      </c>
      <c r="Q128" s="29">
        <v>0.0</v>
      </c>
      <c r="R128" s="29">
        <v>0.0</v>
      </c>
      <c r="S128" s="29">
        <v>0.0</v>
      </c>
      <c r="T128" s="29">
        <v>0.0</v>
      </c>
      <c r="U128" s="29">
        <v>0.0</v>
      </c>
      <c r="V128" s="29" t="s">
        <v>32</v>
      </c>
      <c r="W128" s="29">
        <v>7.0</v>
      </c>
      <c r="X128" s="29" t="s">
        <v>33</v>
      </c>
      <c r="Y128" s="6" t="str">
        <f t="shared" si="1"/>
        <v>Indian</v>
      </c>
      <c r="Z128" s="6"/>
      <c r="AA128" s="6"/>
    </row>
    <row r="129">
      <c r="A129" s="28">
        <v>2025.0</v>
      </c>
      <c r="B129" s="29" t="s">
        <v>84</v>
      </c>
      <c r="C129" s="29" t="s">
        <v>35</v>
      </c>
      <c r="D129" s="7" t="s">
        <v>36</v>
      </c>
      <c r="E129" s="29" t="s">
        <v>63</v>
      </c>
      <c r="F129" s="29">
        <v>14.0</v>
      </c>
      <c r="G129" s="29">
        <v>12.0</v>
      </c>
      <c r="H129" s="29">
        <v>278.0</v>
      </c>
      <c r="I129" s="29">
        <v>68.0</v>
      </c>
      <c r="J129" s="29">
        <v>27.8</v>
      </c>
      <c r="K129" s="29">
        <v>148.39</v>
      </c>
      <c r="L129" s="29">
        <v>22.0</v>
      </c>
      <c r="M129" s="29">
        <v>16.0</v>
      </c>
      <c r="N129" s="29">
        <v>2.0</v>
      </c>
      <c r="O129" s="29">
        <v>0.0</v>
      </c>
      <c r="P129" s="29">
        <v>2.0</v>
      </c>
      <c r="Q129" s="29">
        <v>13.0</v>
      </c>
      <c r="R129" s="29">
        <v>52.0</v>
      </c>
      <c r="S129" s="29">
        <v>7.88</v>
      </c>
      <c r="T129" s="29">
        <v>31.69</v>
      </c>
      <c r="U129" s="29">
        <v>24.0</v>
      </c>
      <c r="V129" s="29" t="s">
        <v>85</v>
      </c>
      <c r="W129" s="29">
        <v>10.0</v>
      </c>
      <c r="X129" s="29" t="s">
        <v>33</v>
      </c>
      <c r="Y129" s="6" t="str">
        <f t="shared" si="1"/>
        <v>Indian</v>
      </c>
      <c r="Z129" s="6"/>
      <c r="AA129" s="6"/>
    </row>
    <row r="130">
      <c r="A130" s="28">
        <v>2025.0</v>
      </c>
      <c r="B130" s="29" t="s">
        <v>156</v>
      </c>
      <c r="C130" s="29" t="s">
        <v>40</v>
      </c>
      <c r="D130" s="8" t="s">
        <v>41</v>
      </c>
      <c r="E130" s="29" t="s">
        <v>30</v>
      </c>
      <c r="F130" s="29">
        <v>14.0</v>
      </c>
      <c r="G130" s="29">
        <v>13.0</v>
      </c>
      <c r="H130" s="29">
        <v>487.0</v>
      </c>
      <c r="I130" s="29" t="s">
        <v>187</v>
      </c>
      <c r="J130" s="29">
        <v>44.27</v>
      </c>
      <c r="K130" s="29">
        <v>180.81</v>
      </c>
      <c r="L130" s="29">
        <v>38.0</v>
      </c>
      <c r="M130" s="29">
        <v>25.0</v>
      </c>
      <c r="N130" s="29">
        <v>4.0</v>
      </c>
      <c r="O130" s="29">
        <v>1.0</v>
      </c>
      <c r="P130" s="29">
        <v>2.0</v>
      </c>
      <c r="Q130" s="29">
        <v>0.0</v>
      </c>
      <c r="R130" s="29">
        <v>0.0</v>
      </c>
      <c r="S130" s="29">
        <v>0.0</v>
      </c>
      <c r="T130" s="29">
        <v>0.0</v>
      </c>
      <c r="U130" s="29">
        <v>0.0</v>
      </c>
      <c r="V130" s="29" t="s">
        <v>32</v>
      </c>
      <c r="W130" s="29">
        <v>14.0</v>
      </c>
      <c r="X130" s="29" t="s">
        <v>46</v>
      </c>
      <c r="Y130" s="6" t="str">
        <f t="shared" si="1"/>
        <v>Overseas</v>
      </c>
      <c r="Z130" s="6"/>
      <c r="AA130" s="6"/>
    </row>
    <row r="131">
      <c r="A131" s="28">
        <v>2025.0</v>
      </c>
      <c r="B131" s="29" t="s">
        <v>116</v>
      </c>
      <c r="C131" s="29" t="s">
        <v>54</v>
      </c>
      <c r="D131" s="12" t="s">
        <v>55</v>
      </c>
      <c r="E131" s="29" t="s">
        <v>30</v>
      </c>
      <c r="F131" s="29">
        <v>14.0</v>
      </c>
      <c r="G131" s="29">
        <v>10.0</v>
      </c>
      <c r="H131" s="29">
        <v>188.0</v>
      </c>
      <c r="I131" s="29" t="s">
        <v>207</v>
      </c>
      <c r="J131" s="29">
        <v>37.6</v>
      </c>
      <c r="K131" s="29">
        <v>186.13</v>
      </c>
      <c r="L131" s="29">
        <v>14.0</v>
      </c>
      <c r="M131" s="29">
        <v>16.0</v>
      </c>
      <c r="N131" s="29">
        <v>0.0</v>
      </c>
      <c r="O131" s="29">
        <v>0.0</v>
      </c>
      <c r="P131" s="29">
        <v>5.0</v>
      </c>
      <c r="Q131" s="29">
        <v>0.0</v>
      </c>
      <c r="R131" s="29">
        <v>0.0</v>
      </c>
      <c r="S131" s="29">
        <v>0.0</v>
      </c>
      <c r="T131" s="29">
        <v>0.0</v>
      </c>
      <c r="U131" s="29">
        <v>0.0</v>
      </c>
      <c r="V131" s="29" t="s">
        <v>32</v>
      </c>
      <c r="W131" s="29">
        <v>12.0</v>
      </c>
      <c r="X131" s="29" t="s">
        <v>33</v>
      </c>
      <c r="Y131" s="6" t="str">
        <f t="shared" si="1"/>
        <v>Indian</v>
      </c>
      <c r="Z131" s="6"/>
      <c r="AA131" s="6"/>
    </row>
    <row r="132">
      <c r="A132" s="28">
        <v>2025.0</v>
      </c>
      <c r="B132" s="29" t="s">
        <v>208</v>
      </c>
      <c r="C132" s="29" t="s">
        <v>40</v>
      </c>
      <c r="D132" s="8" t="s">
        <v>41</v>
      </c>
      <c r="E132" s="29" t="s">
        <v>63</v>
      </c>
      <c r="F132" s="29">
        <v>14.0</v>
      </c>
      <c r="G132" s="29">
        <v>11.0</v>
      </c>
      <c r="H132" s="29">
        <v>168.0</v>
      </c>
      <c r="I132" s="29">
        <v>44.0</v>
      </c>
      <c r="J132" s="29">
        <v>18.67</v>
      </c>
      <c r="K132" s="29">
        <v>146.08</v>
      </c>
      <c r="L132" s="29">
        <v>12.0</v>
      </c>
      <c r="M132" s="29">
        <v>10.0</v>
      </c>
      <c r="N132" s="29">
        <v>0.0</v>
      </c>
      <c r="O132" s="29">
        <v>0.0</v>
      </c>
      <c r="P132" s="29">
        <v>2.0</v>
      </c>
      <c r="Q132" s="29">
        <v>16.0</v>
      </c>
      <c r="R132" s="29">
        <v>49.4</v>
      </c>
      <c r="S132" s="29">
        <v>9.11</v>
      </c>
      <c r="T132" s="29">
        <v>28.12</v>
      </c>
      <c r="U132" s="29">
        <v>18.62</v>
      </c>
      <c r="V132" s="29" t="s">
        <v>179</v>
      </c>
      <c r="W132" s="29">
        <v>5.0</v>
      </c>
      <c r="X132" s="29" t="s">
        <v>42</v>
      </c>
      <c r="Y132" s="6" t="str">
        <f t="shared" si="1"/>
        <v>Overseas</v>
      </c>
      <c r="Z132" s="6"/>
      <c r="AA132" s="6"/>
    </row>
    <row r="133">
      <c r="A133" s="28">
        <v>2025.0</v>
      </c>
      <c r="B133" s="29" t="s">
        <v>181</v>
      </c>
      <c r="C133" s="29" t="s">
        <v>108</v>
      </c>
      <c r="D133" s="17" t="s">
        <v>109</v>
      </c>
      <c r="E133" s="29" t="s">
        <v>63</v>
      </c>
      <c r="F133" s="29">
        <v>13.0</v>
      </c>
      <c r="G133" s="29">
        <v>12.0</v>
      </c>
      <c r="H133" s="29">
        <v>278.0</v>
      </c>
      <c r="I133" s="29" t="s">
        <v>166</v>
      </c>
      <c r="J133" s="29">
        <v>27.8</v>
      </c>
      <c r="K133" s="29">
        <v>192.36</v>
      </c>
      <c r="L133" s="29">
        <v>16.0</v>
      </c>
      <c r="M133" s="29">
        <v>28.0</v>
      </c>
      <c r="N133" s="29">
        <v>1.0</v>
      </c>
      <c r="O133" s="29">
        <v>0.0</v>
      </c>
      <c r="P133" s="29">
        <v>2.0</v>
      </c>
      <c r="Q133" s="29">
        <v>8.0</v>
      </c>
      <c r="R133" s="29">
        <v>28.0</v>
      </c>
      <c r="S133" s="29">
        <v>10.25</v>
      </c>
      <c r="T133" s="29">
        <v>35.87</v>
      </c>
      <c r="U133" s="29">
        <v>21.0</v>
      </c>
      <c r="V133" s="29" t="s">
        <v>194</v>
      </c>
      <c r="W133" s="29">
        <v>5.0</v>
      </c>
      <c r="X133" s="29" t="s">
        <v>67</v>
      </c>
      <c r="Y133" s="6" t="str">
        <f t="shared" si="1"/>
        <v>Overseas</v>
      </c>
      <c r="Z133" s="6"/>
      <c r="AA133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3" max="3" width="13.33"/>
    <col customWidth="1" min="4" max="4" width="5.0"/>
  </cols>
  <sheetData>
    <row r="1">
      <c r="A1" s="30" t="s">
        <v>209</v>
      </c>
      <c r="B1" s="31"/>
      <c r="C1" s="31"/>
      <c r="D1" s="31"/>
      <c r="E1" s="31"/>
      <c r="F1" s="31"/>
      <c r="G1" s="31"/>
      <c r="H1" s="31"/>
      <c r="I1" s="31"/>
      <c r="J1" s="32"/>
    </row>
    <row r="2">
      <c r="A2" s="33" t="s">
        <v>210</v>
      </c>
      <c r="B2" s="33" t="s">
        <v>211</v>
      </c>
      <c r="C2" s="33" t="s">
        <v>212</v>
      </c>
      <c r="D2" s="33" t="s">
        <v>213</v>
      </c>
      <c r="E2" s="33" t="s">
        <v>214</v>
      </c>
      <c r="F2" s="33" t="s">
        <v>215</v>
      </c>
      <c r="G2" s="33" t="s">
        <v>216</v>
      </c>
      <c r="H2" s="33" t="s">
        <v>10</v>
      </c>
      <c r="I2" s="33" t="s">
        <v>14</v>
      </c>
      <c r="J2" s="33" t="s">
        <v>13</v>
      </c>
    </row>
    <row r="3">
      <c r="A3" s="34">
        <v>2020.0</v>
      </c>
      <c r="B3" s="35">
        <v>1.0</v>
      </c>
      <c r="C3" s="36" t="str">
        <f t="array" ref="C3">XLOOKUP(E3, IPL_2020_to_2025_Raw!H:H, IPL_2020_to_2025_Raw!B:B)</f>
        <v>KL Rahul</v>
      </c>
      <c r="D3" s="37" t="str">
        <f t="array" ref="D3">XLOOKUP(E3, IPL_2020_to_2025_Raw!H:H, IPL_2020_to_2025_Raw!D:D)</f>
        <v>KXIP</v>
      </c>
      <c r="E3" s="36">
        <f>IFERROR(__xludf.DUMMYFUNCTION("LARGE(FILTER(IPL_2020_to_2025_Raw!H:H, IPL_2020_to_2025_Raw!A:A=A3), VALUE(B3))"),670.0)</f>
        <v>670</v>
      </c>
      <c r="F3" s="36">
        <f t="array" ref="F3">XLOOKUP(E3,IPL_2020_to_2025_Raw!H:H,IPL_2020_to_2025_Raw!G:G)</f>
        <v>14</v>
      </c>
      <c r="G3" s="36">
        <f t="array" ref="G3">XLOOKUP(E3,IPL_2020_to_2025_Raw!H:H,IPL_2020_to_2025_Raw!J:J)</f>
        <v>55.83</v>
      </c>
      <c r="H3" s="36">
        <f t="array" ref="H3">XLOOKUP(E3,IPL_2020_to_2025_Raw!H:H,IPL_2020_to_2025_Raw!K:K)</f>
        <v>129.34</v>
      </c>
      <c r="I3" s="36">
        <f t="array" ref="I3">XLOOKUP(E3,IPL_2020_to_2025_Raw!H:H,IPL_2020_to_2025_Raw!O:O)</f>
        <v>1</v>
      </c>
      <c r="J3" s="36">
        <f t="array" ref="J3">XLOOKUP(E3,IPL_2020_to_2025_Raw!H:H,IPL_2020_to_2025_Raw!N:N)</f>
        <v>5</v>
      </c>
    </row>
    <row r="4">
      <c r="A4" s="34">
        <v>2020.0</v>
      </c>
      <c r="B4" s="38">
        <v>2.0</v>
      </c>
      <c r="C4" s="39" t="str">
        <f t="array" ref="C4">XLOOKUP(E4, IPL_2020_to_2025_Raw!H:H, IPL_2020_to_2025_Raw!B:B)</f>
        <v>Shikhar Dhawan</v>
      </c>
      <c r="D4" s="40" t="str">
        <f t="array" ref="D4">XLOOKUP(E4, IPL_2020_to_2025_Raw!H:H, IPL_2020_to_2025_Raw!D:D)</f>
        <v>DC</v>
      </c>
      <c r="E4" s="39">
        <f>IFERROR(__xludf.DUMMYFUNCTION("LARGE(FILTER(IPL_2020_to_2025_Raw!H:H, IPL_2020_to_2025_Raw!A:A=A4), VALUE(B4))"),618.0)</f>
        <v>618</v>
      </c>
      <c r="F4" s="39">
        <f t="array" ref="F4">XLOOKUP(E4,IPL_2020_to_2025_Raw!H:H,IPL_2020_to_2025_Raw!G:G)</f>
        <v>16</v>
      </c>
      <c r="G4" s="39">
        <f t="array" ref="G4">XLOOKUP(E4,IPL_2020_to_2025_Raw!H:H,IPL_2020_to_2025_Raw!J:J)</f>
        <v>44.14</v>
      </c>
      <c r="H4" s="39">
        <f t="array" ref="H4">XLOOKUP(E4,IPL_2020_to_2025_Raw!H:H,IPL_2020_to_2025_Raw!K:K)</f>
        <v>145.07</v>
      </c>
      <c r="I4" s="39">
        <f t="array" ref="I4">XLOOKUP(E4,IPL_2020_to_2025_Raw!H:H,IPL_2020_to_2025_Raw!O:O)</f>
        <v>2</v>
      </c>
      <c r="J4" s="39">
        <f t="array" ref="J4">XLOOKUP(E4,IPL_2020_to_2025_Raw!H:H,IPL_2020_to_2025_Raw!N:N)</f>
        <v>8</v>
      </c>
    </row>
    <row r="5">
      <c r="A5" s="34">
        <v>2020.0</v>
      </c>
      <c r="B5" s="38">
        <v>3.0</v>
      </c>
      <c r="C5" s="39" t="str">
        <f t="array" ref="C5">XLOOKUP(E5, IPL_2020_to_2025_Raw!H:H, IPL_2020_to_2025_Raw!B:B)</f>
        <v>David Warner</v>
      </c>
      <c r="D5" s="41" t="str">
        <f t="array" ref="D5">XLOOKUP(E5, IPL_2020_to_2025_Raw!H:H, IPL_2020_to_2025_Raw!D:D)</f>
        <v>SRH</v>
      </c>
      <c r="E5" s="39">
        <f>IFERROR(__xludf.DUMMYFUNCTION("LARGE(FILTER(IPL_2020_to_2025_Raw!H:H, IPL_2020_to_2025_Raw!A:A=A5), VALUE(B5))"),548.0)</f>
        <v>548</v>
      </c>
      <c r="F5" s="39">
        <f t="array" ref="F5">XLOOKUP(E5,IPL_2020_to_2025_Raw!H:H,IPL_2020_to_2025_Raw!G:G)</f>
        <v>16</v>
      </c>
      <c r="G5" s="39">
        <f t="array" ref="G5">XLOOKUP(E5,IPL_2020_to_2025_Raw!H:H,IPL_2020_to_2025_Raw!J:J)</f>
        <v>34.25</v>
      </c>
      <c r="H5" s="39">
        <f t="array" ref="H5">XLOOKUP(E5,IPL_2020_to_2025_Raw!H:H,IPL_2020_to_2025_Raw!K:K)</f>
        <v>134.97</v>
      </c>
      <c r="I5" s="39">
        <f t="array" ref="I5">XLOOKUP(E5,IPL_2020_to_2025_Raw!H:H,IPL_2020_to_2025_Raw!O:O)</f>
        <v>0</v>
      </c>
      <c r="J5" s="39">
        <f t="array" ref="J5">XLOOKUP(E5,IPL_2020_to_2025_Raw!H:H,IPL_2020_to_2025_Raw!N:N)</f>
        <v>4</v>
      </c>
    </row>
    <row r="6">
      <c r="A6" s="34">
        <v>2020.0</v>
      </c>
      <c r="B6" s="38">
        <v>4.0</v>
      </c>
      <c r="C6" s="39" t="str">
        <f t="array" ref="C6">XLOOKUP(E6, IPL_2020_to_2025_Raw!H:H, IPL_2020_to_2025_Raw!B:B)</f>
        <v>Ishan Kishan</v>
      </c>
      <c r="D6" s="42" t="str">
        <f t="array" ref="D6">XLOOKUP(E6, IPL_2020_to_2025_Raw!H:H, IPL_2020_to_2025_Raw!D:D)</f>
        <v>MI</v>
      </c>
      <c r="E6" s="39">
        <f>IFERROR(__xludf.DUMMYFUNCTION("LARGE(FILTER(IPL_2020_to_2025_Raw!H:H, IPL_2020_to_2025_Raw!A:A=A6), VALUE(B6))"),516.0)</f>
        <v>516</v>
      </c>
      <c r="F6" s="39">
        <f t="array" ref="F6">XLOOKUP(E6,IPL_2020_to_2025_Raw!H:H,IPL_2020_to_2025_Raw!G:G)</f>
        <v>14</v>
      </c>
      <c r="G6" s="39">
        <f t="array" ref="G6">XLOOKUP(E6,IPL_2020_to_2025_Raw!H:H,IPL_2020_to_2025_Raw!J:J)</f>
        <v>43</v>
      </c>
      <c r="H6" s="39">
        <f t="array" ref="H6">XLOOKUP(E6,IPL_2020_to_2025_Raw!H:H,IPL_2020_to_2025_Raw!K:K)</f>
        <v>145.76</v>
      </c>
      <c r="I6" s="39">
        <f t="array" ref="I6">XLOOKUP(E6,IPL_2020_to_2025_Raw!H:H,IPL_2020_to_2025_Raw!O:O)</f>
        <v>0</v>
      </c>
      <c r="J6" s="39">
        <f t="array" ref="J6">XLOOKUP(E6,IPL_2020_to_2025_Raw!H:H,IPL_2020_to_2025_Raw!N:N)</f>
        <v>3</v>
      </c>
    </row>
    <row r="7">
      <c r="A7" s="34">
        <v>2020.0</v>
      </c>
      <c r="B7" s="38">
        <v>5.0</v>
      </c>
      <c r="C7" s="39" t="str">
        <f t="array" ref="C7">XLOOKUP(E7, IPL_2020_to_2025_Raw!H:H, IPL_2020_to_2025_Raw!B:B)</f>
        <v>Quinton de Kock</v>
      </c>
      <c r="D7" s="42" t="str">
        <f t="array" ref="D7">XLOOKUP(E7, IPL_2020_to_2025_Raw!H:H, IPL_2020_to_2025_Raw!D:D)</f>
        <v>MI</v>
      </c>
      <c r="E7" s="39">
        <f>IFERROR(__xludf.DUMMYFUNCTION("LARGE(FILTER(IPL_2020_to_2025_Raw!H:H, IPL_2020_to_2025_Raw!A:A=A7), VALUE(B7))"),503.0)</f>
        <v>503</v>
      </c>
      <c r="F7" s="39">
        <f t="array" ref="F7">XLOOKUP(E7,IPL_2020_to_2025_Raw!H:H,IPL_2020_to_2025_Raw!G:G)</f>
        <v>16</v>
      </c>
      <c r="G7" s="39">
        <f t="array" ref="G7">XLOOKUP(E7,IPL_2020_to_2025_Raw!H:H,IPL_2020_to_2025_Raw!J:J)</f>
        <v>33.53</v>
      </c>
      <c r="H7" s="39">
        <f t="array" ref="H7">XLOOKUP(E7,IPL_2020_to_2025_Raw!H:H,IPL_2020_to_2025_Raw!K:K)</f>
        <v>140.5</v>
      </c>
      <c r="I7" s="39">
        <f t="array" ref="I7">XLOOKUP(E7,IPL_2020_to_2025_Raw!H:H,IPL_2020_to_2025_Raw!O:O)</f>
        <v>0</v>
      </c>
      <c r="J7" s="39">
        <f t="array" ref="J7">XLOOKUP(E7,IPL_2020_to_2025_Raw!H:H,IPL_2020_to_2025_Raw!N:N)</f>
        <v>3</v>
      </c>
    </row>
    <row r="8">
      <c r="A8" s="43">
        <v>2021.0</v>
      </c>
      <c r="B8" s="35">
        <v>1.0</v>
      </c>
      <c r="C8" s="36" t="str">
        <f t="array" ref="C8">XLOOKUP(E8, IPL_2020_to_2025_Raw!H:H, IPL_2020_to_2025_Raw!B:B)</f>
        <v>Ruturaj Gaikwad</v>
      </c>
      <c r="D8" s="44" t="str">
        <f t="array" ref="D8">XLOOKUP(E8, IPL_2020_to_2025_Raw!H:H, IPL_2020_to_2025_Raw!D:D)</f>
        <v>CSK</v>
      </c>
      <c r="E8" s="36">
        <f>IFERROR(__xludf.DUMMYFUNCTION("LARGE(FILTER(IPL_2020_to_2025_Raw!H:H, IPL_2020_to_2025_Raw!A:A=A8), VALUE(B8))"),635.0)</f>
        <v>635</v>
      </c>
      <c r="F8" s="36">
        <f t="array" ref="F8">XLOOKUP(E8,IPL_2020_to_2025_Raw!H:H,IPL_2020_to_2025_Raw!G:G)</f>
        <v>16</v>
      </c>
      <c r="G8" s="36">
        <f t="array" ref="G8">XLOOKUP(E8,IPL_2020_to_2025_Raw!H:H,IPL_2020_to_2025_Raw!J:J)</f>
        <v>45.35</v>
      </c>
      <c r="H8" s="36">
        <f t="array" ref="H8">XLOOKUP(E8,IPL_2020_to_2025_Raw!H:H,IPL_2020_to_2025_Raw!K:K)</f>
        <v>136.26</v>
      </c>
      <c r="I8" s="36">
        <f t="array" ref="I8">XLOOKUP(E8,IPL_2020_to_2025_Raw!H:H,IPL_2020_to_2025_Raw!O:O)</f>
        <v>1</v>
      </c>
      <c r="J8" s="36">
        <f t="array" ref="J8">XLOOKUP(E8,IPL_2020_to_2025_Raw!H:H,IPL_2020_to_2025_Raw!N:N)</f>
        <v>4</v>
      </c>
    </row>
    <row r="9">
      <c r="A9" s="43">
        <v>2021.0</v>
      </c>
      <c r="B9" s="45">
        <v>2.0</v>
      </c>
      <c r="C9" s="46" t="str">
        <f t="array" ref="C9">XLOOKUP(E9, IPL_2020_to_2025_Raw!H:H, IPL_2020_to_2025_Raw!B:B)</f>
        <v>Faf du Plessis</v>
      </c>
      <c r="D9" s="44" t="str">
        <f t="array" ref="D9">XLOOKUP(E9, IPL_2020_to_2025_Raw!H:H, IPL_2020_to_2025_Raw!D:D)</f>
        <v>CSK</v>
      </c>
      <c r="E9" s="46">
        <f>IFERROR(__xludf.DUMMYFUNCTION("LARGE(FILTER(IPL_2020_to_2025_Raw!H:H, IPL_2020_to_2025_Raw!A:A=A9), VALUE(B9))"),633.0)</f>
        <v>633</v>
      </c>
      <c r="F9" s="46">
        <f t="array" ref="F9">XLOOKUP(E9,IPL_2020_to_2025_Raw!H:H,IPL_2020_to_2025_Raw!G:G)</f>
        <v>16</v>
      </c>
      <c r="G9" s="46">
        <f t="array" ref="G9">XLOOKUP(E9,IPL_2020_to_2025_Raw!H:H,IPL_2020_to_2025_Raw!J:J)</f>
        <v>44.5</v>
      </c>
      <c r="H9" s="46">
        <f t="array" ref="H9">XLOOKUP(E9,IPL_2020_to_2025_Raw!H:H,IPL_2020_to_2025_Raw!K:K)</f>
        <v>133.19</v>
      </c>
      <c r="I9" s="46">
        <f t="array" ref="I9">XLOOKUP(E9,IPL_2020_to_2025_Raw!H:H,IPL_2020_to_2025_Raw!O:O)</f>
        <v>0</v>
      </c>
      <c r="J9" s="46">
        <f t="array" ref="J9">XLOOKUP(E9,IPL_2020_to_2025_Raw!H:H,IPL_2020_to_2025_Raw!N:N)</f>
        <v>6</v>
      </c>
    </row>
    <row r="10">
      <c r="A10" s="43">
        <v>2021.0</v>
      </c>
      <c r="B10" s="45">
        <v>3.0</v>
      </c>
      <c r="C10" s="46" t="str">
        <f t="array" ref="C10">XLOOKUP(E10, IPL_2020_to_2025_Raw!H:H, IPL_2020_to_2025_Raw!B:B)</f>
        <v>KL Rahul</v>
      </c>
      <c r="D10" s="37" t="str">
        <f t="array" ref="D10">XLOOKUP(E10, IPL_2020_to_2025_Raw!H:H, IPL_2020_to_2025_Raw!D:D)</f>
        <v>PBKS</v>
      </c>
      <c r="E10" s="46">
        <f>IFERROR(__xludf.DUMMYFUNCTION("LARGE(FILTER(IPL_2020_to_2025_Raw!H:H, IPL_2020_to_2025_Raw!A:A=A10), VALUE(B10))"),626.0)</f>
        <v>626</v>
      </c>
      <c r="F10" s="46">
        <f t="array" ref="F10">XLOOKUP(E10,IPL_2020_to_2025_Raw!H:H,IPL_2020_to_2025_Raw!G:G)</f>
        <v>13</v>
      </c>
      <c r="G10" s="46">
        <f t="array" ref="G10">XLOOKUP(E10,IPL_2020_to_2025_Raw!H:H,IPL_2020_to_2025_Raw!J:J)</f>
        <v>52.17</v>
      </c>
      <c r="H10" s="46">
        <f t="array" ref="H10">XLOOKUP(E10,IPL_2020_to_2025_Raw!H:H,IPL_2020_to_2025_Raw!K:K)</f>
        <v>136.75</v>
      </c>
      <c r="I10" s="46">
        <f t="array" ref="I10">XLOOKUP(E10,IPL_2020_to_2025_Raw!H:H,IPL_2020_to_2025_Raw!O:O)</f>
        <v>0</v>
      </c>
      <c r="J10" s="46">
        <f t="array" ref="J10">XLOOKUP(E10,IPL_2020_to_2025_Raw!H:H,IPL_2020_to_2025_Raw!N:N)</f>
        <v>6</v>
      </c>
    </row>
    <row r="11">
      <c r="A11" s="43">
        <v>2021.0</v>
      </c>
      <c r="B11" s="45">
        <v>4.0</v>
      </c>
      <c r="C11" s="46" t="str">
        <f t="array" ref="C11">XLOOKUP(E11, IPL_2020_to_2025_Raw!H:H, IPL_2020_to_2025_Raw!B:B)</f>
        <v>Shikhar Dhawan</v>
      </c>
      <c r="D11" s="40" t="str">
        <f t="array" ref="D11">XLOOKUP(E11, IPL_2020_to_2025_Raw!H:H, IPL_2020_to_2025_Raw!D:D)</f>
        <v>DC</v>
      </c>
      <c r="E11" s="46">
        <f>IFERROR(__xludf.DUMMYFUNCTION("LARGE(FILTER(IPL_2020_to_2025_Raw!H:H, IPL_2020_to_2025_Raw!A:A=A11), VALUE(B11))"),587.0)</f>
        <v>587</v>
      </c>
      <c r="F11" s="46">
        <f t="array" ref="F11">XLOOKUP(E11,IPL_2020_to_2025_Raw!H:H,IPL_2020_to_2025_Raw!G:G)</f>
        <v>16</v>
      </c>
      <c r="G11" s="46">
        <f t="array" ref="G11">XLOOKUP(E11,IPL_2020_to_2025_Raw!H:H,IPL_2020_to_2025_Raw!J:J)</f>
        <v>46.15</v>
      </c>
      <c r="H11" s="46">
        <f t="array" ref="H11">XLOOKUP(E11,IPL_2020_to_2025_Raw!H:H,IPL_2020_to_2025_Raw!K:K)</f>
        <v>122.37</v>
      </c>
      <c r="I11" s="46">
        <f t="array" ref="I11">XLOOKUP(E11,IPL_2020_to_2025_Raw!H:H,IPL_2020_to_2025_Raw!O:O)</f>
        <v>0</v>
      </c>
      <c r="J11" s="46">
        <f t="array" ref="J11">XLOOKUP(E11,IPL_2020_to_2025_Raw!H:H,IPL_2020_to_2025_Raw!N:N)</f>
        <v>7</v>
      </c>
    </row>
    <row r="12">
      <c r="A12" s="43">
        <v>2021.0</v>
      </c>
      <c r="B12" s="45">
        <v>5.0</v>
      </c>
      <c r="C12" s="46" t="str">
        <f t="array" ref="C12">XLOOKUP(E12, IPL_2020_to_2025_Raw!H:H, IPL_2020_to_2025_Raw!B:B)</f>
        <v>Glenn Maxwell</v>
      </c>
      <c r="D12" s="47" t="str">
        <f t="array" ref="D12">XLOOKUP(E12, IPL_2020_to_2025_Raw!H:H, IPL_2020_to_2025_Raw!D:D)</f>
        <v>RCB</v>
      </c>
      <c r="E12" s="46">
        <f>IFERROR(__xludf.DUMMYFUNCTION("LARGE(FILTER(IPL_2020_to_2025_Raw!H:H, IPL_2020_to_2025_Raw!A:A=A12), VALUE(B12))"),513.0)</f>
        <v>513</v>
      </c>
      <c r="F12" s="46">
        <f t="array" ref="F12">XLOOKUP(E12,IPL_2020_to_2025_Raw!H:H,IPL_2020_to_2025_Raw!G:G)</f>
        <v>15</v>
      </c>
      <c r="G12" s="46">
        <f t="array" ref="G12">XLOOKUP(E12,IPL_2020_to_2025_Raw!H:H,IPL_2020_to_2025_Raw!J:J)</f>
        <v>36.64</v>
      </c>
      <c r="H12" s="46">
        <f t="array" ref="H12">XLOOKUP(E12,IPL_2020_to_2025_Raw!H:H,IPL_2020_to_2025_Raw!K:K)</f>
        <v>144.38</v>
      </c>
      <c r="I12" s="46">
        <f t="array" ref="I12">XLOOKUP(E12,IPL_2020_to_2025_Raw!H:H,IPL_2020_to_2025_Raw!O:O)</f>
        <v>0</v>
      </c>
      <c r="J12" s="46">
        <f t="array" ref="J12">XLOOKUP(E12,IPL_2020_to_2025_Raw!H:H,IPL_2020_to_2025_Raw!N:N)</f>
        <v>5</v>
      </c>
    </row>
    <row r="13">
      <c r="A13" s="48">
        <v>2022.0</v>
      </c>
      <c r="B13" s="35">
        <v>1.0</v>
      </c>
      <c r="C13" s="36" t="str">
        <f t="array" ref="C13">XLOOKUP(E13, IPL_2020_to_2025_Raw!H:H, IPL_2020_to_2025_Raw!B:B)</f>
        <v>Jos Buttler</v>
      </c>
      <c r="D13" s="49" t="str">
        <f t="array" ref="D13">XLOOKUP(E13, IPL_2020_to_2025_Raw!H:H, IPL_2020_to_2025_Raw!D:D)</f>
        <v>RR</v>
      </c>
      <c r="E13" s="36">
        <f>IFERROR(__xludf.DUMMYFUNCTION("LARGE(FILTER(IPL_2020_to_2025_Raw!H:H, IPL_2020_to_2025_Raw!A:A=A13), VALUE(B13))"),863.0)</f>
        <v>863</v>
      </c>
      <c r="F13" s="36">
        <f t="array" ref="F13">XLOOKUP(E13,IPL_2020_to_2025_Raw!H:H,IPL_2020_to_2025_Raw!G:G)</f>
        <v>17</v>
      </c>
      <c r="G13" s="36">
        <f t="array" ref="G13">XLOOKUP(E13,IPL_2020_to_2025_Raw!H:H,IPL_2020_to_2025_Raw!J:J)</f>
        <v>57.53</v>
      </c>
      <c r="H13" s="36">
        <f t="array" ref="H13">XLOOKUP(E13,IPL_2020_to_2025_Raw!H:H,IPL_2020_to_2025_Raw!K:K)</f>
        <v>149.05</v>
      </c>
      <c r="I13" s="36">
        <f t="array" ref="I13">XLOOKUP(E13,IPL_2020_to_2025_Raw!H:H,IPL_2020_to_2025_Raw!O:O)</f>
        <v>4</v>
      </c>
      <c r="J13" s="36">
        <f t="array" ref="J13">XLOOKUP(E13,IPL_2020_to_2025_Raw!H:H,IPL_2020_to_2025_Raw!N:N)</f>
        <v>4</v>
      </c>
    </row>
    <row r="14">
      <c r="A14" s="48">
        <v>2022.0</v>
      </c>
      <c r="B14" s="50">
        <v>2.0</v>
      </c>
      <c r="C14" s="51" t="str">
        <f t="array" ref="C14">XLOOKUP(E14, IPL_2020_to_2025_Raw!H:H, IPL_2020_to_2025_Raw!B:B)</f>
        <v>KL Rahul</v>
      </c>
      <c r="D14" s="52" t="str">
        <f t="array" ref="D14">XLOOKUP(E14, IPL_2020_to_2025_Raw!H:H, IPL_2020_to_2025_Raw!D:D)</f>
        <v>LSG</v>
      </c>
      <c r="E14" s="51">
        <f>IFERROR(__xludf.DUMMYFUNCTION("LARGE(FILTER(IPL_2020_to_2025_Raw!H:H, IPL_2020_to_2025_Raw!A:A=A14), VALUE(B14))"),616.0)</f>
        <v>616</v>
      </c>
      <c r="F14" s="51">
        <f t="array" ref="F14">XLOOKUP(E14,IPL_2020_to_2025_Raw!H:H,IPL_2020_to_2025_Raw!G:G)</f>
        <v>15</v>
      </c>
      <c r="G14" s="51">
        <f t="array" ref="G14">XLOOKUP(E14,IPL_2020_to_2025_Raw!H:H,IPL_2020_to_2025_Raw!J:J)</f>
        <v>51.33</v>
      </c>
      <c r="H14" s="51">
        <f t="array" ref="H14">XLOOKUP(E14,IPL_2020_to_2025_Raw!H:H,IPL_2020_to_2025_Raw!K:K)</f>
        <v>135.68</v>
      </c>
      <c r="I14" s="51">
        <f t="array" ref="I14">XLOOKUP(E14,IPL_2020_to_2025_Raw!H:H,IPL_2020_to_2025_Raw!O:O)</f>
        <v>2</v>
      </c>
      <c r="J14" s="51">
        <f t="array" ref="J14">XLOOKUP(E14,IPL_2020_to_2025_Raw!H:H,IPL_2020_to_2025_Raw!N:N)</f>
        <v>4</v>
      </c>
    </row>
    <row r="15">
      <c r="A15" s="48">
        <v>2022.0</v>
      </c>
      <c r="B15" s="50">
        <v>3.0</v>
      </c>
      <c r="C15" s="51" t="str">
        <f t="array" ref="C15">XLOOKUP(E15, IPL_2020_to_2025_Raw!H:H, IPL_2020_to_2025_Raw!B:B)</f>
        <v>Quinton de Kock</v>
      </c>
      <c r="D15" s="52" t="str">
        <f t="array" ref="D15">XLOOKUP(E15, IPL_2020_to_2025_Raw!H:H, IPL_2020_to_2025_Raw!D:D)</f>
        <v>LSG</v>
      </c>
      <c r="E15" s="51">
        <f>IFERROR(__xludf.DUMMYFUNCTION("LARGE(FILTER(IPL_2020_to_2025_Raw!H:H, IPL_2020_to_2025_Raw!A:A=A15), VALUE(B15))"),508.0)</f>
        <v>508</v>
      </c>
      <c r="F15" s="51">
        <f t="array" ref="F15">XLOOKUP(E15,IPL_2020_to_2025_Raw!H:H,IPL_2020_to_2025_Raw!G:G)</f>
        <v>16</v>
      </c>
      <c r="G15" s="51">
        <f t="array" ref="G15">XLOOKUP(E15,IPL_2020_to_2025_Raw!H:H,IPL_2020_to_2025_Raw!J:J)</f>
        <v>33.87</v>
      </c>
      <c r="H15" s="51">
        <f t="array" ref="H15">XLOOKUP(E15,IPL_2020_to_2025_Raw!H:H,IPL_2020_to_2025_Raw!K:K)</f>
        <v>153.77</v>
      </c>
      <c r="I15" s="51">
        <f t="array" ref="I15">XLOOKUP(E15,IPL_2020_to_2025_Raw!H:H,IPL_2020_to_2025_Raw!O:O)</f>
        <v>1</v>
      </c>
      <c r="J15" s="51">
        <f t="array" ref="J15">XLOOKUP(E15,IPL_2020_to_2025_Raw!H:H,IPL_2020_to_2025_Raw!N:N)</f>
        <v>3</v>
      </c>
    </row>
    <row r="16">
      <c r="A16" s="48">
        <v>2022.0</v>
      </c>
      <c r="B16" s="50">
        <v>4.0</v>
      </c>
      <c r="C16" s="51" t="str">
        <f t="array" ref="C16">XLOOKUP(E16, IPL_2020_to_2025_Raw!H:H, IPL_2020_to_2025_Raw!B:B)</f>
        <v>Hardik Pandya</v>
      </c>
      <c r="D16" s="53" t="str">
        <f t="array" ref="D16">XLOOKUP(E16, IPL_2020_to_2025_Raw!H:H, IPL_2020_to_2025_Raw!D:D)</f>
        <v>GT</v>
      </c>
      <c r="E16" s="51">
        <f>IFERROR(__xludf.DUMMYFUNCTION("LARGE(FILTER(IPL_2020_to_2025_Raw!H:H, IPL_2020_to_2025_Raw!A:A=A16), VALUE(B16))"),487.0)</f>
        <v>487</v>
      </c>
      <c r="F16" s="51">
        <f t="array" ref="F16">XLOOKUP(E16,IPL_2020_to_2025_Raw!H:H,IPL_2020_to_2025_Raw!G:G)</f>
        <v>13</v>
      </c>
      <c r="G16" s="51">
        <f t="array" ref="G16">XLOOKUP(E16,IPL_2020_to_2025_Raw!H:H,IPL_2020_to_2025_Raw!J:J)</f>
        <v>44.27</v>
      </c>
      <c r="H16" s="51">
        <f t="array" ref="H16">XLOOKUP(E16,IPL_2020_to_2025_Raw!H:H,IPL_2020_to_2025_Raw!K:K)</f>
        <v>131.27</v>
      </c>
      <c r="I16" s="51">
        <f t="array" ref="I16">XLOOKUP(E16,IPL_2020_to_2025_Raw!H:H,IPL_2020_to_2025_Raw!O:O)</f>
        <v>0</v>
      </c>
      <c r="J16" s="51">
        <f t="array" ref="J16">XLOOKUP(E16,IPL_2020_to_2025_Raw!H:H,IPL_2020_to_2025_Raw!N:N)</f>
        <v>3</v>
      </c>
    </row>
    <row r="17">
      <c r="A17" s="48">
        <v>2022.0</v>
      </c>
      <c r="B17" s="50">
        <v>5.0</v>
      </c>
      <c r="C17" s="51" t="str">
        <f t="array" ref="C17">XLOOKUP(E17, IPL_2020_to_2025_Raw!H:H, IPL_2020_to_2025_Raw!B:B)</f>
        <v>Shubman Gill</v>
      </c>
      <c r="D17" s="53" t="str">
        <f t="array" ref="D17">XLOOKUP(E17, IPL_2020_to_2025_Raw!H:H, IPL_2020_to_2025_Raw!D:D)</f>
        <v>GT</v>
      </c>
      <c r="E17" s="51">
        <f>IFERROR(__xludf.DUMMYFUNCTION("LARGE(FILTER(IPL_2020_to_2025_Raw!H:H, IPL_2020_to_2025_Raw!A:A=A17), VALUE(B17))"),483.0)</f>
        <v>483</v>
      </c>
      <c r="F17" s="51">
        <f t="array" ref="F17">XLOOKUP(E17,IPL_2020_to_2025_Raw!H:H,IPL_2020_to_2025_Raw!G:G)</f>
        <v>16</v>
      </c>
      <c r="G17" s="51">
        <f t="array" ref="G17">XLOOKUP(E17,IPL_2020_to_2025_Raw!H:H,IPL_2020_to_2025_Raw!J:J)</f>
        <v>35.07</v>
      </c>
      <c r="H17" s="51">
        <f t="array" ref="H17">XLOOKUP(E17,IPL_2020_to_2025_Raw!H:H,IPL_2020_to_2025_Raw!K:K)</f>
        <v>133.97</v>
      </c>
      <c r="I17" s="51">
        <f t="array" ref="I17">XLOOKUP(E17,IPL_2020_to_2025_Raw!H:H,IPL_2020_to_2025_Raw!O:O)</f>
        <v>0</v>
      </c>
      <c r="J17" s="51">
        <f t="array" ref="J17">XLOOKUP(E17,IPL_2020_to_2025_Raw!H:H,IPL_2020_to_2025_Raw!N:N)</f>
        <v>4</v>
      </c>
    </row>
    <row r="18">
      <c r="A18" s="54">
        <v>2023.0</v>
      </c>
      <c r="B18" s="35">
        <v>1.0</v>
      </c>
      <c r="C18" s="36" t="str">
        <f t="array" ref="C18">XLOOKUP(E18, IPL_2020_to_2025_Raw!H:H, IPL_2020_to_2025_Raw!B:B)</f>
        <v>Shubman Gill</v>
      </c>
      <c r="D18" s="53" t="str">
        <f t="array" ref="D18">XLOOKUP(E18, IPL_2020_to_2025_Raw!H:H, IPL_2020_to_2025_Raw!D:D)</f>
        <v>GT</v>
      </c>
      <c r="E18" s="36">
        <f>IFERROR(__xludf.DUMMYFUNCTION("LARGE(FILTER(IPL_2020_to_2025_Raw!H:H, IPL_2020_to_2025_Raw!A:A=A18), VALUE(B18))"),890.0)</f>
        <v>890</v>
      </c>
      <c r="F18" s="36">
        <f t="array" ref="F18">XLOOKUP(E18,IPL_2020_to_2025_Raw!H:H,IPL_2020_to_2025_Raw!G:G)</f>
        <v>17</v>
      </c>
      <c r="G18" s="36">
        <f t="array" ref="G18">XLOOKUP(E18,IPL_2020_to_2025_Raw!H:H,IPL_2020_to_2025_Raw!J:J)</f>
        <v>59.33</v>
      </c>
      <c r="H18" s="36">
        <f t="array" ref="H18">XLOOKUP(E18,IPL_2020_to_2025_Raw!H:H,IPL_2020_to_2025_Raw!K:K)</f>
        <v>157.7</v>
      </c>
      <c r="I18" s="36">
        <f t="array" ref="I18">XLOOKUP(E18,IPL_2020_to_2025_Raw!H:H,IPL_2020_to_2025_Raw!O:O)</f>
        <v>3</v>
      </c>
      <c r="J18" s="36">
        <f t="array" ref="J18">XLOOKUP(E18,IPL_2020_to_2025_Raw!H:H,IPL_2020_to_2025_Raw!N:N)</f>
        <v>4</v>
      </c>
    </row>
    <row r="19">
      <c r="A19" s="54">
        <v>2023.0</v>
      </c>
      <c r="B19" s="55">
        <v>2.0</v>
      </c>
      <c r="C19" s="56" t="str">
        <f t="array" ref="C19">XLOOKUP(E19, IPL_2020_to_2025_Raw!H:H, IPL_2020_to_2025_Raw!B:B)</f>
        <v>Faf du Plessis</v>
      </c>
      <c r="D19" s="47" t="str">
        <f t="array" ref="D19">XLOOKUP(E19, IPL_2020_to_2025_Raw!H:H, IPL_2020_to_2025_Raw!D:D)</f>
        <v>RCB</v>
      </c>
      <c r="E19" s="56">
        <f>IFERROR(__xludf.DUMMYFUNCTION("LARGE(FILTER(IPL_2020_to_2025_Raw!H:H, IPL_2020_to_2025_Raw!A:A=A19), VALUE(B19))"),730.0)</f>
        <v>730</v>
      </c>
      <c r="F19" s="56">
        <f t="array" ref="F19">XLOOKUP(E19,IPL_2020_to_2025_Raw!H:H,IPL_2020_to_2025_Raw!G:G)</f>
        <v>14</v>
      </c>
      <c r="G19" s="56">
        <f t="array" ref="G19">XLOOKUP(E19,IPL_2020_to_2025_Raw!H:H,IPL_2020_to_2025_Raw!J:J)</f>
        <v>58.4</v>
      </c>
      <c r="H19" s="56">
        <f t="array" ref="H19">XLOOKUP(E19,IPL_2020_to_2025_Raw!H:H,IPL_2020_to_2025_Raw!K:K)</f>
        <v>157.24</v>
      </c>
      <c r="I19" s="56">
        <f t="array" ref="I19">XLOOKUP(E19,IPL_2020_to_2025_Raw!H:H,IPL_2020_to_2025_Raw!O:O)</f>
        <v>0</v>
      </c>
      <c r="J19" s="56">
        <f t="array" ref="J19">XLOOKUP(E19,IPL_2020_to_2025_Raw!H:H,IPL_2020_to_2025_Raw!N:N)</f>
        <v>7</v>
      </c>
    </row>
    <row r="20">
      <c r="A20" s="54">
        <v>2023.0</v>
      </c>
      <c r="B20" s="55">
        <v>3.0</v>
      </c>
      <c r="C20" s="56" t="str">
        <f t="array" ref="C20">XLOOKUP(E20, IPL_2020_to_2025_Raw!H:H, IPL_2020_to_2025_Raw!B:B)</f>
        <v>Devon Conway</v>
      </c>
      <c r="D20" s="44" t="str">
        <f t="array" ref="D20">XLOOKUP(E20, IPL_2020_to_2025_Raw!H:H, IPL_2020_to_2025_Raw!D:D)</f>
        <v>CSK</v>
      </c>
      <c r="E20" s="56">
        <f>IFERROR(__xludf.DUMMYFUNCTION("LARGE(FILTER(IPL_2020_to_2025_Raw!H:H, IPL_2020_to_2025_Raw!A:A=A20), VALUE(B20))"),672.0)</f>
        <v>672</v>
      </c>
      <c r="F20" s="56">
        <f t="array" ref="F20">XLOOKUP(E20,IPL_2020_to_2025_Raw!H:H,IPL_2020_to_2025_Raw!G:G)</f>
        <v>16</v>
      </c>
      <c r="G20" s="56">
        <f t="array" ref="G20">XLOOKUP(E20,IPL_2020_to_2025_Raw!H:H,IPL_2020_to_2025_Raw!J:J)</f>
        <v>48</v>
      </c>
      <c r="H20" s="56">
        <f t="array" ref="H20">XLOOKUP(E20,IPL_2020_to_2025_Raw!H:H,IPL_2020_to_2025_Raw!K:K)</f>
        <v>138.55</v>
      </c>
      <c r="I20" s="56">
        <f t="array" ref="I20">XLOOKUP(E20,IPL_2020_to_2025_Raw!H:H,IPL_2020_to_2025_Raw!O:O)</f>
        <v>0</v>
      </c>
      <c r="J20" s="56">
        <f t="array" ref="J20">XLOOKUP(E20,IPL_2020_to_2025_Raw!H:H,IPL_2020_to_2025_Raw!N:N)</f>
        <v>6</v>
      </c>
    </row>
    <row r="21">
      <c r="A21" s="54">
        <v>2023.0</v>
      </c>
      <c r="B21" s="55">
        <v>4.0</v>
      </c>
      <c r="C21" s="56" t="str">
        <f t="array" ref="C21">XLOOKUP(E21, IPL_2020_to_2025_Raw!H:H, IPL_2020_to_2025_Raw!B:B)</f>
        <v>Virat Kohli</v>
      </c>
      <c r="D21" s="47" t="str">
        <f t="array" ref="D21">XLOOKUP(E21, IPL_2020_to_2025_Raw!H:H, IPL_2020_to_2025_Raw!D:D)</f>
        <v>RCB</v>
      </c>
      <c r="E21" s="56">
        <f>IFERROR(__xludf.DUMMYFUNCTION("LARGE(FILTER(IPL_2020_to_2025_Raw!H:H, IPL_2020_to_2025_Raw!A:A=A21), VALUE(B21))"),639.0)</f>
        <v>639</v>
      </c>
      <c r="F21" s="56">
        <f t="array" ref="F21">XLOOKUP(E21,IPL_2020_to_2025_Raw!H:H,IPL_2020_to_2025_Raw!G:G)</f>
        <v>14</v>
      </c>
      <c r="G21" s="56">
        <f t="array" ref="G21">XLOOKUP(E21,IPL_2020_to_2025_Raw!H:H,IPL_2020_to_2025_Raw!J:J)</f>
        <v>48.03</v>
      </c>
      <c r="H21" s="56">
        <f t="array" ref="H21">XLOOKUP(E21,IPL_2020_to_2025_Raw!H:H,IPL_2020_to_2025_Raw!K:K)</f>
        <v>139.78</v>
      </c>
      <c r="I21" s="56">
        <f t="array" ref="I21">XLOOKUP(E21,IPL_2020_to_2025_Raw!H:H,IPL_2020_to_2025_Raw!O:O)</f>
        <v>1</v>
      </c>
      <c r="J21" s="56">
        <f t="array" ref="J21">XLOOKUP(E21,IPL_2020_to_2025_Raw!H:H,IPL_2020_to_2025_Raw!N:N)</f>
        <v>6</v>
      </c>
    </row>
    <row r="22">
      <c r="A22" s="54">
        <v>2023.0</v>
      </c>
      <c r="B22" s="55">
        <v>5.0</v>
      </c>
      <c r="C22" s="56" t="str">
        <f t="array" ref="C22">XLOOKUP(E22, IPL_2020_to_2025_Raw!H:H, IPL_2020_to_2025_Raw!B:B)</f>
        <v>Yashasvi Jaiswal</v>
      </c>
      <c r="D22" s="57" t="str">
        <f t="array" ref="D22">XLOOKUP(E22, IPL_2020_to_2025_Raw!H:H, IPL_2020_to_2025_Raw!D:D)</f>
        <v>RR</v>
      </c>
      <c r="E22" s="56">
        <f>IFERROR(__xludf.DUMMYFUNCTION("LARGE(FILTER(IPL_2020_to_2025_Raw!H:H, IPL_2020_to_2025_Raw!A:A=A22), VALUE(B22))"),625.0)</f>
        <v>625</v>
      </c>
      <c r="F22" s="56">
        <f t="array" ref="F22">XLOOKUP(E22,IPL_2020_to_2025_Raw!H:H,IPL_2020_to_2025_Raw!G:G)</f>
        <v>14</v>
      </c>
      <c r="G22" s="56">
        <f t="array" ref="G22">XLOOKUP(E22,IPL_2020_to_2025_Raw!H:H,IPL_2020_to_2025_Raw!J:J)</f>
        <v>47.07</v>
      </c>
      <c r="H22" s="56">
        <f t="array" ref="H22">XLOOKUP(E22,IPL_2020_to_2025_Raw!H:H,IPL_2020_to_2025_Raw!K:K)</f>
        <v>163.61</v>
      </c>
      <c r="I22" s="56">
        <f t="array" ref="I22">XLOOKUP(E22,IPL_2020_to_2025_Raw!H:H,IPL_2020_to_2025_Raw!O:O)</f>
        <v>1</v>
      </c>
      <c r="J22" s="56">
        <f t="array" ref="J22">XLOOKUP(E22,IPL_2020_to_2025_Raw!H:H,IPL_2020_to_2025_Raw!N:N)</f>
        <v>5</v>
      </c>
    </row>
    <row r="23">
      <c r="A23" s="58">
        <v>2024.0</v>
      </c>
      <c r="B23" s="35">
        <v>1.0</v>
      </c>
      <c r="C23" s="36" t="str">
        <f t="array" ref="C23">XLOOKUP(E23, IPL_2020_to_2025_Raw!H:H, IPL_2020_to_2025_Raw!B:B)</f>
        <v>Virat Kohli</v>
      </c>
      <c r="D23" s="47" t="str">
        <f t="array" ref="D23">XLOOKUP(E23, IPL_2020_to_2025_Raw!H:H, IPL_2020_to_2025_Raw!D:D)</f>
        <v>RCB</v>
      </c>
      <c r="E23" s="36">
        <f>IFERROR(__xludf.DUMMYFUNCTION("LARGE(FILTER(IPL_2020_to_2025_Raw!H:H, IPL_2020_to_2025_Raw!A:A=A23), VALUE(B23))"),741.0)</f>
        <v>741</v>
      </c>
      <c r="F23" s="36">
        <f t="array" ref="F23">XLOOKUP(E23,IPL_2020_to_2025_Raw!H:H,IPL_2020_to_2025_Raw!G:G)</f>
        <v>15</v>
      </c>
      <c r="G23" s="36">
        <f t="array" ref="G23">XLOOKUP(E23,IPL_2020_to_2025_Raw!H:H,IPL_2020_to_2025_Raw!J:J)</f>
        <v>61.75</v>
      </c>
      <c r="H23" s="36">
        <f t="array" ref="H23">XLOOKUP(E23,IPL_2020_to_2025_Raw!H:H,IPL_2020_to_2025_Raw!K:K)</f>
        <v>154.69</v>
      </c>
      <c r="I23" s="36">
        <f t="array" ref="I23">XLOOKUP(E23,IPL_2020_to_2025_Raw!H:H,IPL_2020_to_2025_Raw!O:O)</f>
        <v>1</v>
      </c>
      <c r="J23" s="36">
        <f t="array" ref="J23">XLOOKUP(E23,IPL_2020_to_2025_Raw!H:H,IPL_2020_to_2025_Raw!N:N)</f>
        <v>6</v>
      </c>
    </row>
    <row r="24">
      <c r="A24" s="58">
        <v>2024.0</v>
      </c>
      <c r="B24" s="59">
        <v>2.0</v>
      </c>
      <c r="C24" s="60" t="str">
        <f t="array" ref="C24">XLOOKUP(E24, IPL_2020_to_2025_Raw!H:H, IPL_2020_to_2025_Raw!B:B)</f>
        <v>Ruturaj Gaikwad</v>
      </c>
      <c r="D24" s="44" t="str">
        <f t="array" ref="D24">XLOOKUP(E24, IPL_2020_to_2025_Raw!H:H, IPL_2020_to_2025_Raw!D:D)</f>
        <v>CSK</v>
      </c>
      <c r="E24" s="60">
        <f>IFERROR(__xludf.DUMMYFUNCTION("LARGE(FILTER(IPL_2020_to_2025_Raw!H:H, IPL_2020_to_2025_Raw!A:A=A24), VALUE(B24))"),583.0)</f>
        <v>583</v>
      </c>
      <c r="F24" s="60">
        <f t="array" ref="F24">XLOOKUP(E24,IPL_2020_to_2025_Raw!H:H,IPL_2020_to_2025_Raw!G:G)</f>
        <v>15</v>
      </c>
      <c r="G24" s="60">
        <f t="array" ref="G24">XLOOKUP(E24,IPL_2020_to_2025_Raw!H:H,IPL_2020_to_2025_Raw!J:J)</f>
        <v>43.55</v>
      </c>
      <c r="H24" s="60">
        <f t="array" ref="H24">XLOOKUP(E24,IPL_2020_to_2025_Raw!H:H,IPL_2020_to_2025_Raw!K:K)</f>
        <v>141.11</v>
      </c>
      <c r="I24" s="60">
        <f t="array" ref="I24">XLOOKUP(E24,IPL_2020_to_2025_Raw!H:H,IPL_2020_to_2025_Raw!O:O)</f>
        <v>0</v>
      </c>
      <c r="J24" s="60">
        <f t="array" ref="J24">XLOOKUP(E24,IPL_2020_to_2025_Raw!H:H,IPL_2020_to_2025_Raw!N:N)</f>
        <v>5</v>
      </c>
    </row>
    <row r="25">
      <c r="A25" s="58">
        <v>2024.0</v>
      </c>
      <c r="B25" s="59">
        <v>3.0</v>
      </c>
      <c r="C25" s="60" t="str">
        <f t="array" ref="C25">XLOOKUP(E25, IPL_2020_to_2025_Raw!H:H, IPL_2020_to_2025_Raw!B:B)</f>
        <v>Riyan Parag</v>
      </c>
      <c r="D25" s="57" t="str">
        <f t="array" ref="D25">XLOOKUP(E25, IPL_2020_to_2025_Raw!H:H, IPL_2020_to_2025_Raw!D:D)</f>
        <v>RR</v>
      </c>
      <c r="E25" s="60">
        <f>IFERROR(__xludf.DUMMYFUNCTION("LARGE(FILTER(IPL_2020_to_2025_Raw!H:H, IPL_2020_to_2025_Raw!A:A=A25), VALUE(B25))"),573.0)</f>
        <v>573</v>
      </c>
      <c r="F25" s="60">
        <f t="array" ref="F25">XLOOKUP(E25,IPL_2020_to_2025_Raw!H:H,IPL_2020_to_2025_Raw!G:G)</f>
        <v>14</v>
      </c>
      <c r="G25" s="60">
        <f t="array" ref="G25">XLOOKUP(E25,IPL_2020_to_2025_Raw!H:H,IPL_2020_to_2025_Raw!J:J)</f>
        <v>47.75</v>
      </c>
      <c r="H25" s="60">
        <f t="array" ref="H25">XLOOKUP(E25,IPL_2020_to_2025_Raw!H:H,IPL_2020_to_2025_Raw!K:K)</f>
        <v>149.6</v>
      </c>
      <c r="I25" s="60">
        <f t="array" ref="I25">XLOOKUP(E25,IPL_2020_to_2025_Raw!H:H,IPL_2020_to_2025_Raw!O:O)</f>
        <v>0</v>
      </c>
      <c r="J25" s="60">
        <f t="array" ref="J25">XLOOKUP(E25,IPL_2020_to_2025_Raw!H:H,IPL_2020_to_2025_Raw!N:N)</f>
        <v>5</v>
      </c>
    </row>
    <row r="26">
      <c r="A26" s="58">
        <v>2024.0</v>
      </c>
      <c r="B26" s="59">
        <v>4.0</v>
      </c>
      <c r="C26" s="60" t="str">
        <f t="array" ref="C26">XLOOKUP(E26, IPL_2020_to_2025_Raw!H:H, IPL_2020_to_2025_Raw!B:B)</f>
        <v>Travis Head</v>
      </c>
      <c r="D26" s="41" t="str">
        <f t="array" ref="D26">XLOOKUP(E26, IPL_2020_to_2025_Raw!H:H, IPL_2020_to_2025_Raw!D:D)</f>
        <v>SRH</v>
      </c>
      <c r="E26" s="60">
        <f>IFERROR(__xludf.DUMMYFUNCTION("LARGE(FILTER(IPL_2020_to_2025_Raw!H:H, IPL_2020_to_2025_Raw!A:A=A26), VALUE(B26))"),567.0)</f>
        <v>567</v>
      </c>
      <c r="F26" s="60">
        <f t="array" ref="F26">XLOOKUP(E26,IPL_2020_to_2025_Raw!H:H,IPL_2020_to_2025_Raw!G:G)</f>
        <v>15</v>
      </c>
      <c r="G26" s="60">
        <f t="array" ref="G26">XLOOKUP(E26,IPL_2020_to_2025_Raw!H:H,IPL_2020_to_2025_Raw!J:J)</f>
        <v>42</v>
      </c>
      <c r="H26" s="60">
        <f t="array" ref="H26">XLOOKUP(E26,IPL_2020_to_2025_Raw!H:H,IPL_2020_to_2025_Raw!K:K)</f>
        <v>191.55</v>
      </c>
      <c r="I26" s="60">
        <f t="array" ref="I26">XLOOKUP(E26,IPL_2020_to_2025_Raw!H:H,IPL_2020_to_2025_Raw!O:O)</f>
        <v>1</v>
      </c>
      <c r="J26" s="60">
        <f t="array" ref="J26">XLOOKUP(E26,IPL_2020_to_2025_Raw!H:H,IPL_2020_to_2025_Raw!N:N)</f>
        <v>2</v>
      </c>
    </row>
    <row r="27">
      <c r="A27" s="58">
        <v>2024.0</v>
      </c>
      <c r="B27" s="59">
        <v>5.0</v>
      </c>
      <c r="C27" s="60" t="str">
        <f t="array" ref="C27">XLOOKUP(E27, IPL_2020_to_2025_Raw!H:H, IPL_2020_to_2025_Raw!B:B)</f>
        <v>Sanju Samson</v>
      </c>
      <c r="D27" s="57" t="str">
        <f t="array" ref="D27">XLOOKUP(E27, IPL_2020_to_2025_Raw!H:H, IPL_2020_to_2025_Raw!D:D)</f>
        <v>RR</v>
      </c>
      <c r="E27" s="60">
        <f>IFERROR(__xludf.DUMMYFUNCTION("LARGE(FILTER(IPL_2020_to_2025_Raw!H:H, IPL_2020_to_2025_Raw!A:A=A27), VALUE(B27))"),531.0)</f>
        <v>531</v>
      </c>
      <c r="F27" s="60">
        <f t="array" ref="F27">XLOOKUP(E27,IPL_2020_to_2025_Raw!H:H,IPL_2020_to_2025_Raw!G:G)</f>
        <v>12</v>
      </c>
      <c r="G27" s="60">
        <f t="array" ref="G27">XLOOKUP(E27,IPL_2020_to_2025_Raw!H:H,IPL_2020_to_2025_Raw!J:J)</f>
        <v>53.1</v>
      </c>
      <c r="H27" s="60">
        <f t="array" ref="H27">XLOOKUP(E27,IPL_2020_to_2025_Raw!H:H,IPL_2020_to_2025_Raw!K:K)</f>
        <v>160.6</v>
      </c>
      <c r="I27" s="60">
        <f t="array" ref="I27">XLOOKUP(E27,IPL_2020_to_2025_Raw!H:H,IPL_2020_to_2025_Raw!O:O)</f>
        <v>0</v>
      </c>
      <c r="J27" s="60">
        <f t="array" ref="J27">XLOOKUP(E27,IPL_2020_to_2025_Raw!H:H,IPL_2020_to_2025_Raw!N:N)</f>
        <v>4</v>
      </c>
    </row>
    <row r="28">
      <c r="A28" s="61">
        <v>2025.0</v>
      </c>
      <c r="B28" s="35">
        <v>1.0</v>
      </c>
      <c r="C28" s="36" t="str">
        <f t="array" ref="C28">XLOOKUP(E28, IPL_2020_to_2025_Raw!H:H, IPL_2020_to_2025_Raw!B:B)</f>
        <v>Sai Sudharsan</v>
      </c>
      <c r="D28" s="53" t="str">
        <f t="array" ref="D28">XLOOKUP(E28, IPL_2020_to_2025_Raw!H:H, IPL_2020_to_2025_Raw!D:D)</f>
        <v>GT</v>
      </c>
      <c r="E28" s="36">
        <f>IFERROR(__xludf.DUMMYFUNCTION("LARGE(FILTER(IPL_2020_to_2025_Raw!H:H, IPL_2020_to_2025_Raw!A:A=A28), VALUE(B28))"),759.0)</f>
        <v>759</v>
      </c>
      <c r="F28" s="36">
        <f t="array" ref="F28">XLOOKUP(E28,IPL_2020_to_2025_Raw!H:H,IPL_2020_to_2025_Raw!G:G)</f>
        <v>16</v>
      </c>
      <c r="G28" s="36">
        <f t="array" ref="G28">XLOOKUP(E28,IPL_2020_to_2025_Raw!H:H,IPL_2020_to_2025_Raw!J:J)</f>
        <v>54.21</v>
      </c>
      <c r="H28" s="36">
        <f t="array" ref="H28">XLOOKUP(E28,IPL_2020_to_2025_Raw!H:H,IPL_2020_to_2025_Raw!K:K)</f>
        <v>156.91</v>
      </c>
      <c r="I28" s="36">
        <f t="array" ref="I28">XLOOKUP(E28,IPL_2020_to_2025_Raw!H:H,IPL_2020_to_2025_Raw!O:O)</f>
        <v>1</v>
      </c>
      <c r="J28" s="36">
        <f t="array" ref="J28">XLOOKUP(E28,IPL_2020_to_2025_Raw!H:H,IPL_2020_to_2025_Raw!N:N)</f>
        <v>6</v>
      </c>
    </row>
    <row r="29">
      <c r="A29" s="61">
        <v>2025.0</v>
      </c>
      <c r="B29" s="62">
        <v>2.0</v>
      </c>
      <c r="C29" s="63" t="str">
        <f t="array" ref="C29">XLOOKUP(E29, IPL_2020_to_2025_Raw!H:H, IPL_2020_to_2025_Raw!B:B)</f>
        <v>Virat Kohli</v>
      </c>
      <c r="D29" s="47" t="str">
        <f t="array" ref="D29">XLOOKUP(E29, IPL_2020_to_2025_Raw!H:H, IPL_2020_to_2025_Raw!D:D)</f>
        <v>RCB</v>
      </c>
      <c r="E29" s="63">
        <f>IFERROR(__xludf.DUMMYFUNCTION("LARGE(FILTER(IPL_2020_to_2025_Raw!H:H, IPL_2020_to_2025_Raw!A:A=A29), VALUE(B29))"),741.0)</f>
        <v>741</v>
      </c>
      <c r="F29" s="63">
        <f t="array" ref="F29">XLOOKUP(E29,IPL_2020_to_2025_Raw!H:H,IPL_2020_to_2025_Raw!G:G)</f>
        <v>15</v>
      </c>
      <c r="G29" s="63">
        <f t="array" ref="G29">XLOOKUP(E29,IPL_2020_to_2025_Raw!H:H,IPL_2020_to_2025_Raw!J:J)</f>
        <v>61.75</v>
      </c>
      <c r="H29" s="63">
        <f t="array" ref="H29">XLOOKUP(E29,IPL_2020_to_2025_Raw!H:H,IPL_2020_to_2025_Raw!K:K)</f>
        <v>154.69</v>
      </c>
      <c r="I29" s="63">
        <f t="array" ref="I29">XLOOKUP(E29,IPL_2020_to_2025_Raw!H:H,IPL_2020_to_2025_Raw!O:O)</f>
        <v>1</v>
      </c>
      <c r="J29" s="63">
        <f t="array" ref="J29">XLOOKUP(E29,IPL_2020_to_2025_Raw!H:H,IPL_2020_to_2025_Raw!N:N)</f>
        <v>6</v>
      </c>
    </row>
    <row r="30">
      <c r="A30" s="61">
        <v>2025.0</v>
      </c>
      <c r="B30" s="62">
        <v>3.0</v>
      </c>
      <c r="C30" s="63" t="str">
        <f t="array" ref="C30">XLOOKUP(E30, IPL_2020_to_2025_Raw!H:H, IPL_2020_to_2025_Raw!B:B)</f>
        <v>Shubman Gill</v>
      </c>
      <c r="D30" s="42" t="str">
        <f t="array" ref="D30">XLOOKUP(E30, IPL_2020_to_2025_Raw!H:H, IPL_2020_to_2025_Raw!D:D)</f>
        <v>GT</v>
      </c>
      <c r="E30" s="63">
        <f>IFERROR(__xludf.DUMMYFUNCTION("LARGE(FILTER(IPL_2020_to_2025_Raw!H:H, IPL_2020_to_2025_Raw!A:A=A30), VALUE(B30))"),649.0)</f>
        <v>649</v>
      </c>
      <c r="F30" s="63">
        <f t="array" ref="F30">XLOOKUP(E30,IPL_2020_to_2025_Raw!H:H,IPL_2020_to_2025_Raw!G:G)</f>
        <v>14</v>
      </c>
      <c r="G30" s="63">
        <f t="array" ref="G30">XLOOKUP(E30,IPL_2020_to_2025_Raw!H:H,IPL_2020_to_2025_Raw!J:J)</f>
        <v>54.08</v>
      </c>
      <c r="H30" s="63">
        <f t="array" ref="H30">XLOOKUP(E30,IPL_2020_to_2025_Raw!H:H,IPL_2020_to_2025_Raw!K:K)</f>
        <v>156.38</v>
      </c>
      <c r="I30" s="63">
        <f t="array" ref="I30">XLOOKUP(E30,IPL_2020_to_2025_Raw!H:H,IPL_2020_to_2025_Raw!O:O)</f>
        <v>0</v>
      </c>
      <c r="J30" s="63">
        <f t="array" ref="J30">XLOOKUP(E30,IPL_2020_to_2025_Raw!H:H,IPL_2020_to_2025_Raw!N:N)</f>
        <v>6</v>
      </c>
    </row>
    <row r="31">
      <c r="A31" s="61">
        <v>2025.0</v>
      </c>
      <c r="B31" s="62">
        <v>4.0</v>
      </c>
      <c r="C31" s="63" t="str">
        <f t="array" ref="C31">XLOOKUP(E31, IPL_2020_to_2025_Raw!H:H, IPL_2020_to_2025_Raw!B:B)</f>
        <v>Suryakumar Yadav</v>
      </c>
      <c r="D31" s="52" t="str">
        <f t="array" ref="D31">XLOOKUP(E31, IPL_2020_to_2025_Raw!H:H, IPL_2020_to_2025_Raw!D:D)</f>
        <v>MI</v>
      </c>
      <c r="E31" s="63">
        <f>IFERROR(__xludf.DUMMYFUNCTION("LARGE(FILTER(IPL_2020_to_2025_Raw!H:H, IPL_2020_to_2025_Raw!A:A=A31), VALUE(B31))"),640.0)</f>
        <v>640</v>
      </c>
      <c r="F31" s="63">
        <f t="array" ref="F31">XLOOKUP(E31,IPL_2020_to_2025_Raw!H:H,IPL_2020_to_2025_Raw!G:G)</f>
        <v>14</v>
      </c>
      <c r="G31" s="63">
        <f t="array" ref="G31">XLOOKUP(E31,IPL_2020_to_2025_Raw!H:H,IPL_2020_to_2025_Raw!J:J)</f>
        <v>71.11</v>
      </c>
      <c r="H31" s="63">
        <f t="array" ref="H31">XLOOKUP(E31,IPL_2020_to_2025_Raw!H:H,IPL_2020_to_2025_Raw!K:K)</f>
        <v>167.97</v>
      </c>
      <c r="I31" s="63">
        <f t="array" ref="I31">XLOOKUP(E31,IPL_2020_to_2025_Raw!H:H,IPL_2020_to_2025_Raw!O:O)</f>
        <v>0</v>
      </c>
      <c r="J31" s="63">
        <f t="array" ref="J31">XLOOKUP(E31,IPL_2020_to_2025_Raw!H:H,IPL_2020_to_2025_Raw!N:N)</f>
        <v>5</v>
      </c>
    </row>
    <row r="32">
      <c r="A32" s="61">
        <v>2025.0</v>
      </c>
      <c r="B32" s="62">
        <v>5.0</v>
      </c>
      <c r="C32" s="63" t="str">
        <f t="array" ref="C32">XLOOKUP(E32, IPL_2020_to_2025_Raw!H:H, IPL_2020_to_2025_Raw!B:B)</f>
        <v>Mitchell Marsh</v>
      </c>
      <c r="D32" s="53" t="str">
        <f t="array" ref="D32">XLOOKUP(E32, IPL_2020_to_2025_Raw!H:H, IPL_2020_to_2025_Raw!D:D)</f>
        <v>LSG</v>
      </c>
      <c r="E32" s="63">
        <f>IFERROR(__xludf.DUMMYFUNCTION("LARGE(FILTER(IPL_2020_to_2025_Raw!H:H, IPL_2020_to_2025_Raw!A:A=A32), VALUE(B32))"),627.0)</f>
        <v>627</v>
      </c>
      <c r="F32" s="63">
        <f t="array" ref="F32">XLOOKUP(E32,IPL_2020_to_2025_Raw!H:H,IPL_2020_to_2025_Raw!G:G)</f>
        <v>13</v>
      </c>
      <c r="G32" s="63">
        <f t="array" ref="G32">XLOOKUP(E32,IPL_2020_to_2025_Raw!H:H,IPL_2020_to_2025_Raw!J:J)</f>
        <v>48.23</v>
      </c>
      <c r="H32" s="63">
        <f t="array" ref="H32">XLOOKUP(E32,IPL_2020_to_2025_Raw!H:H,IPL_2020_to_2025_Raw!K:K)</f>
        <v>163.7</v>
      </c>
      <c r="I32" s="63">
        <f t="array" ref="I32">XLOOKUP(E32,IPL_2020_to_2025_Raw!H:H,IPL_2020_to_2025_Raw!O:O)</f>
        <v>1</v>
      </c>
      <c r="J32" s="63">
        <f t="array" ref="J32">XLOOKUP(E32,IPL_2020_to_2025_Raw!H:H,IPL_2020_to_2025_Raw!N:N)</f>
        <v>6</v>
      </c>
    </row>
  </sheetData>
  <mergeCells count="1">
    <mergeCell ref="A1:J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3" max="3" width="14.33"/>
  </cols>
  <sheetData>
    <row r="1">
      <c r="A1" s="64" t="s">
        <v>217</v>
      </c>
      <c r="B1" s="31"/>
      <c r="C1" s="31"/>
      <c r="D1" s="31"/>
      <c r="E1" s="31"/>
      <c r="F1" s="31"/>
      <c r="G1" s="31"/>
      <c r="H1" s="32"/>
    </row>
    <row r="2">
      <c r="A2" s="65" t="s">
        <v>210</v>
      </c>
      <c r="B2" s="66" t="s">
        <v>211</v>
      </c>
      <c r="C2" s="65" t="s">
        <v>212</v>
      </c>
      <c r="D2" s="65" t="s">
        <v>213</v>
      </c>
      <c r="E2" s="65" t="s">
        <v>218</v>
      </c>
      <c r="F2" s="65" t="s">
        <v>219</v>
      </c>
      <c r="G2" s="65" t="s">
        <v>220</v>
      </c>
      <c r="H2" s="65" t="s">
        <v>221</v>
      </c>
    </row>
    <row r="3">
      <c r="A3" s="67">
        <v>2020.0</v>
      </c>
      <c r="B3" s="68">
        <v>1.0</v>
      </c>
      <c r="C3" s="69" t="str">
        <f>IFERROR(__xludf.DUMMYFUNCTION("INDEX(
SORT(
FILTER({IPL_2020_to_2025_Raw!B:B, IPL_2020_to_2025_Raw!C:C,IPL_2020_to_2025_Raw!Q:Q},
IPL_2020_to_2025_Raw!A:A=A3),
3,FALSE),
B3,1)"),"Kagiso Rabada")</f>
        <v>Kagiso Rabada</v>
      </c>
      <c r="D3" s="40" t="str">
        <f>IFERROR(__xludf.DUMMYFUNCTION("INDEX(
SORT(
FILTER({IPL_2020_to_2025_Raw!B:B, IPL_2020_to_2025_Raw!D:D,IPL_2020_to_2025_Raw!Q:Q},
IPL_2020_to_2025_Raw!A:A=A3),
3,FALSE),
B3,2)"),"DC")</f>
        <v>DC</v>
      </c>
      <c r="E3" s="70">
        <f>IFERROR(__xludf.DUMMYFUNCTION("INDEX(
SORT(
FILTER(IPL_2020_to_2025_Raw!Q:Q, IPL_2020_to_2025_Raw!A:A=A3),
1,FALSE),
B3)"),30.0)</f>
        <v>30</v>
      </c>
      <c r="F3" s="70">
        <f t="array" ref="F3">XLOOKUP(E3,IPL_2020_to_2025_Raw!Q:Q,IPL_2020_to_2025_Raw!R:R)</f>
        <v>64</v>
      </c>
      <c r="G3" s="70">
        <f t="array" ref="G3">XLOOKUP(E3,IPL_2020_to_2025_Raw!Q:Q,IPL_2020_to_2025_Raw!S:S)</f>
        <v>8.34</v>
      </c>
      <c r="H3" s="70" t="str">
        <f t="array" ref="H3">XLOOKUP(E3,IPL_2020_to_2025_Raw!Q:Q,IPL_2020_to_2025_Raw!V:V)</f>
        <v>4/24</v>
      </c>
    </row>
    <row r="4">
      <c r="A4" s="71">
        <v>2020.0</v>
      </c>
      <c r="B4" s="72">
        <v>2.0</v>
      </c>
      <c r="C4" s="73" t="str">
        <f>IFERROR(__xludf.DUMMYFUNCTION("INDEX(
SORT(
FILTER({IPL_2020_to_2025_Raw!B:B, IPL_2020_to_2025_Raw!C:C,IPL_2020_to_2025_Raw!Q:Q},
IPL_2020_to_2025_Raw!A:A=A4),
3,FALSE),
B4,1)"),"Jasprit Bumrah")</f>
        <v>Jasprit Bumrah</v>
      </c>
      <c r="D4" s="42" t="str">
        <f>IFERROR(__xludf.DUMMYFUNCTION("INDEX(
SORT(
FILTER({IPL_2020_to_2025_Raw!B:B, IPL_2020_to_2025_Raw!D:D,IPL_2020_to_2025_Raw!Q:Q},
IPL_2020_to_2025_Raw!A:A=A4),
3,FALSE),
B4,2)"),"MI")</f>
        <v>MI</v>
      </c>
      <c r="E4" s="74">
        <f>IFERROR(__xludf.DUMMYFUNCTION("LARGE(FILTER(IPL_2020_to_2025_Raw!Q:Q, IPL_2020_to_2025_Raw!A:A=A4),B4)"),27.0)</f>
        <v>27</v>
      </c>
      <c r="F4" s="74">
        <f t="array" ref="F4">XLOOKUP(E4,IPL_2020_to_2025_Raw!Q:Q,IPL_2020_to_2025_Raw!R:R)</f>
        <v>58.1</v>
      </c>
      <c r="G4" s="74">
        <f t="array" ref="G4">XLOOKUP(E4,IPL_2020_to_2025_Raw!Q:Q,IPL_2020_to_2025_Raw!S:S)</f>
        <v>6.73</v>
      </c>
      <c r="H4" s="74" t="str">
        <f t="array" ref="H4">XLOOKUP(E4,IPL_2020_to_2025_Raw!Q:Q,IPL_2020_to_2025_Raw!V:V)</f>
        <v>4/14</v>
      </c>
    </row>
    <row r="5">
      <c r="A5" s="71">
        <v>2020.0</v>
      </c>
      <c r="B5" s="72">
        <v>3.0</v>
      </c>
      <c r="C5" s="73" t="str">
        <f>IFERROR(__xludf.DUMMYFUNCTION("INDEX(
SORT(
FILTER({IPL_2020_to_2025_Raw!B:B, IPL_2020_to_2025_Raw!C:C,IPL_2020_to_2025_Raw!Q:Q},
IPL_2020_to_2025_Raw!A:A=A5),
3,FALSE),
B5,1)"),"Trent Boult")</f>
        <v>Trent Boult</v>
      </c>
      <c r="D5" s="42" t="str">
        <f>IFERROR(__xludf.DUMMYFUNCTION("INDEX(
SORT(
FILTER({IPL_2020_to_2025_Raw!B:B, IPL_2020_to_2025_Raw!D:D,IPL_2020_to_2025_Raw!Q:Q},
IPL_2020_to_2025_Raw!A:A=A5),
3,FALSE),
B5,2)"),"MI")</f>
        <v>MI</v>
      </c>
      <c r="E5" s="74">
        <f>IFERROR(__xludf.DUMMYFUNCTION("LARGE(FILTER(IPL_2020_to_2025_Raw!Q:Q, IPL_2020_to_2025_Raw!A:A=A5),B5)"),25.0)</f>
        <v>25</v>
      </c>
      <c r="F5" s="74">
        <f t="array" ref="F5">XLOOKUP(E5,IPL_2020_to_2025_Raw!Q:Q,IPL_2020_to_2025_Raw!R:R)</f>
        <v>57.3</v>
      </c>
      <c r="G5" s="74">
        <f t="array" ref="G5">XLOOKUP(E5,IPL_2020_to_2025_Raw!Q:Q,IPL_2020_to_2025_Raw!S:S)</f>
        <v>7.97</v>
      </c>
      <c r="H5" s="74" t="str">
        <f t="array" ref="H5">XLOOKUP(E5,IPL_2020_to_2025_Raw!Q:Q,IPL_2020_to_2025_Raw!V:V)</f>
        <v>3/21</v>
      </c>
    </row>
    <row r="6">
      <c r="A6" s="71">
        <v>2020.0</v>
      </c>
      <c r="B6" s="72">
        <v>4.0</v>
      </c>
      <c r="C6" s="73" t="str">
        <f>IFERROR(__xludf.DUMMYFUNCTION("INDEX(
SORT(
FILTER({IPL_2020_to_2025_Raw!B:B, IPL_2020_to_2025_Raw!C:C,IPL_2020_to_2025_Raw!Q:Q},
IPL_2020_to_2025_Raw!A:A=A6),
3,FALSE),
B6,1)"),"Anrich Nortje")</f>
        <v>Anrich Nortje</v>
      </c>
      <c r="D6" s="40" t="str">
        <f>IFERROR(__xludf.DUMMYFUNCTION("INDEX(
SORT(
FILTER({IPL_2020_to_2025_Raw!B:B, IPL_2020_to_2025_Raw!D:D,IPL_2020_to_2025_Raw!Q:Q},
IPL_2020_to_2025_Raw!A:A=A6),
3,FALSE),
B6,2)"),"DC")</f>
        <v>DC</v>
      </c>
      <c r="E6" s="74">
        <f>IFERROR(__xludf.DUMMYFUNCTION("LARGE(FILTER(IPL_2020_to_2025_Raw!Q:Q, IPL_2020_to_2025_Raw!A:A=A6),B6)"),22.0)</f>
        <v>22</v>
      </c>
      <c r="F6" s="74">
        <f t="array" ref="F6">XLOOKUP(E6,IPL_2020_to_2025_Raw!Q:Q,IPL_2020_to_2025_Raw!R:R)</f>
        <v>58</v>
      </c>
      <c r="G6" s="74">
        <f t="array" ref="G6">XLOOKUP(E6,IPL_2020_to_2025_Raw!Q:Q,IPL_2020_to_2025_Raw!S:S)</f>
        <v>8.37</v>
      </c>
      <c r="H6" s="74" t="str">
        <f t="array" ref="H6">XLOOKUP(E6,IPL_2020_to_2025_Raw!Q:Q,IPL_2020_to_2025_Raw!V:V)</f>
        <v>3/21</v>
      </c>
    </row>
    <row r="7">
      <c r="A7" s="71">
        <v>2020.0</v>
      </c>
      <c r="B7" s="72">
        <v>5.0</v>
      </c>
      <c r="C7" s="73" t="str">
        <f>IFERROR(__xludf.DUMMYFUNCTION("INDEX(
SORT(
FILTER({IPL_2020_to_2025_Raw!B:B, IPL_2020_to_2025_Raw!C:C,IPL_2020_to_2025_Raw!Q:Q},
IPL_2020_to_2025_Raw!A:A=A7),
3,FALSE),
B7,1)"),"Yuzvendra Chahal")</f>
        <v>Yuzvendra Chahal</v>
      </c>
      <c r="D7" s="47" t="str">
        <f>IFERROR(__xludf.DUMMYFUNCTION("INDEX(
SORT(
FILTER({IPL_2020_to_2025_Raw!B:B, IPL_2020_to_2025_Raw!D:D,IPL_2020_to_2025_Raw!Q:Q},
IPL_2020_to_2025_Raw!A:A=A7),
3,FALSE),
B7,2)"),"RCB")</f>
        <v>RCB</v>
      </c>
      <c r="E7" s="74">
        <f>IFERROR(__xludf.DUMMYFUNCTION("LARGE(FILTER(IPL_2020_to_2025_Raw!Q:Q, IPL_2020_to_2025_Raw!A:A=A7),B7)"),21.0)</f>
        <v>21</v>
      </c>
      <c r="F7" s="74">
        <f t="array" ref="F7">XLOOKUP(E7,IPL_2020_to_2025_Raw!Q:Q,IPL_2020_to_2025_Raw!R:R)</f>
        <v>58</v>
      </c>
      <c r="G7" s="74">
        <f t="array" ref="G7">XLOOKUP(E7,IPL_2020_to_2025_Raw!Q:Q,IPL_2020_to_2025_Raw!S:S)</f>
        <v>8.02</v>
      </c>
      <c r="H7" s="74" t="str">
        <f t="array" ref="H7">XLOOKUP(E7,IPL_2020_to_2025_Raw!Q:Q,IPL_2020_to_2025_Raw!V:V)</f>
        <v>3/18</v>
      </c>
    </row>
    <row r="8">
      <c r="A8" s="75">
        <v>2021.0</v>
      </c>
      <c r="B8" s="76">
        <v>1.0</v>
      </c>
      <c r="C8" s="77" t="str">
        <f>IFERROR(__xludf.DUMMYFUNCTION("INDEX(
SORT(
FILTER({IPL_2020_to_2025_Raw!B:B, IPL_2020_to_2025_Raw!C:C,IPL_2020_to_2025_Raw!Q:Q},
IPL_2020_to_2025_Raw!A:A=A8),
3,FALSE),
B8,1)"),"Harshal Patel")</f>
        <v>Harshal Patel</v>
      </c>
      <c r="D8" s="47" t="str">
        <f>IFERROR(__xludf.DUMMYFUNCTION("INDEX(
SORT(
FILTER({IPL_2020_to_2025_Raw!B:B, IPL_2020_to_2025_Raw!D:D,IPL_2020_to_2025_Raw!Q:Q},
IPL_2020_to_2025_Raw!A:A=A8),
3,FALSE),
B8,2)"),"RCB")</f>
        <v>RCB</v>
      </c>
      <c r="E8" s="70">
        <f>IFERROR(__xludf.DUMMYFUNCTION("LARGE(FILTER(IPL_2020_to_2025_Raw!Q:Q, IPL_2020_to_2025_Raw!A:A=A8),B8)"),32.0)</f>
        <v>32</v>
      </c>
      <c r="F8" s="70">
        <f t="array" ref="F8">XLOOKUP(E8,IPL_2020_to_2025_Raw!Q:Q,IPL_2020_to_2025_Raw!R:R)</f>
        <v>57</v>
      </c>
      <c r="G8" s="70">
        <f t="array" ref="G8">XLOOKUP(E8,IPL_2020_to_2025_Raw!Q:Q,IPL_2020_to_2025_Raw!S:S)</f>
        <v>8.14</v>
      </c>
      <c r="H8" s="70" t="str">
        <f t="array" ref="H8">XLOOKUP(E8,IPL_2020_to_2025_Raw!Q:Q,IPL_2020_to_2025_Raw!V:V)</f>
        <v>5/27</v>
      </c>
    </row>
    <row r="9">
      <c r="A9" s="75">
        <v>2021.0</v>
      </c>
      <c r="B9" s="78">
        <v>2.0</v>
      </c>
      <c r="C9" s="79" t="str">
        <f>IFERROR(__xludf.DUMMYFUNCTION("INDEX(
SORT(
FILTER({IPL_2020_to_2025_Raw!B:B, IPL_2020_to_2025_Raw!C:C,IPL_2020_to_2025_Raw!Q:Q},
IPL_2020_to_2025_Raw!A:A=A9),
3,FALSE),
B9,1)"),"Avesh Khan")</f>
        <v>Avesh Khan</v>
      </c>
      <c r="D9" s="40" t="str">
        <f>IFERROR(__xludf.DUMMYFUNCTION("INDEX(
SORT(
FILTER({IPL_2020_to_2025_Raw!B:B, IPL_2020_to_2025_Raw!D:D,IPL_2020_to_2025_Raw!Q:Q},
IPL_2020_to_2025_Raw!A:A=A9),
3,FALSE),
B9,2)"),"DC")</f>
        <v>DC</v>
      </c>
      <c r="E9" s="79">
        <f>IFERROR(__xludf.DUMMYFUNCTION("LARGE(FILTER(IPL_2020_to_2025_Raw!Q:Q, IPL_2020_to_2025_Raw!A:A=A9),B9)"),24.0)</f>
        <v>24</v>
      </c>
      <c r="F9" s="79">
        <f t="array" ref="F9">XLOOKUP(E9,IPL_2020_to_2025_Raw!Q:Q,IPL_2020_to_2025_Raw!R:R)</f>
        <v>58</v>
      </c>
      <c r="G9" s="79">
        <f t="array" ref="G9">XLOOKUP(E9,IPL_2020_to_2025_Raw!Q:Q,IPL_2020_to_2025_Raw!S:S)</f>
        <v>7.37</v>
      </c>
      <c r="H9" s="79" t="str">
        <f t="array" ref="H9">XLOOKUP(E9,IPL_2020_to_2025_Raw!Q:Q,IPL_2020_to_2025_Raw!V:V)</f>
        <v>4/24</v>
      </c>
    </row>
    <row r="10">
      <c r="A10" s="75">
        <v>2021.0</v>
      </c>
      <c r="B10" s="78">
        <v>3.0</v>
      </c>
      <c r="C10" s="79" t="str">
        <f>IFERROR(__xludf.DUMMYFUNCTION("INDEX(
SORT(
FILTER({IPL_2020_to_2025_Raw!B:B, IPL_2020_to_2025_Raw!C:C,IPL_2020_to_2025_Raw!Q:Q},
IPL_2020_to_2025_Raw!A:A=A10),
3,FALSE),
B10,1)"),"Jasprit Bumrah")</f>
        <v>Jasprit Bumrah</v>
      </c>
      <c r="D10" s="42" t="str">
        <f>IFERROR(__xludf.DUMMYFUNCTION("INDEX(
SORT(
FILTER({IPL_2020_to_2025_Raw!B:B, IPL_2020_to_2025_Raw!D:D,IPL_2020_to_2025_Raw!Q:Q},
IPL_2020_to_2025_Raw!A:A=A10),
3,FALSE),
B10,2)"),"MI")</f>
        <v>MI</v>
      </c>
      <c r="E10" s="79">
        <f>IFERROR(__xludf.DUMMYFUNCTION("LARGE(FILTER(IPL_2020_to_2025_Raw!Q:Q, IPL_2020_to_2025_Raw!A:A=A10),B10)"),21.0)</f>
        <v>21</v>
      </c>
      <c r="F10" s="79">
        <f t="array" ref="F10">XLOOKUP(E10,IPL_2020_to_2025_Raw!Q:Q,IPL_2020_to_2025_Raw!R:R)</f>
        <v>58</v>
      </c>
      <c r="G10" s="79">
        <f t="array" ref="G10">XLOOKUP(E10,IPL_2020_to_2025_Raw!Q:Q,IPL_2020_to_2025_Raw!S:S)</f>
        <v>8.02</v>
      </c>
      <c r="H10" s="79" t="str">
        <f t="array" ref="H10">XLOOKUP(E10,IPL_2020_to_2025_Raw!Q:Q,IPL_2020_to_2025_Raw!V:V)</f>
        <v>3/18</v>
      </c>
    </row>
    <row r="11">
      <c r="A11" s="75">
        <v>2021.0</v>
      </c>
      <c r="B11" s="78">
        <v>4.0</v>
      </c>
      <c r="C11" s="79" t="str">
        <f>IFERROR(__xludf.DUMMYFUNCTION("INDEX(
SORT(
FILTER({IPL_2020_to_2025_Raw!B:B, IPL_2020_to_2025_Raw!C:C,IPL_2020_to_2025_Raw!Q:Q},
IPL_2020_to_2025_Raw!A:A=A11),
3,FALSE),
B11,1)"),"Shardul Thakur")</f>
        <v>Shardul Thakur</v>
      </c>
      <c r="D11" s="44" t="str">
        <f>IFERROR(__xludf.DUMMYFUNCTION("INDEX(
SORT(
FILTER({IPL_2020_to_2025_Raw!B:B, IPL_2020_to_2025_Raw!D:D,IPL_2020_to_2025_Raw!Q:Q},
IPL_2020_to_2025_Raw!A:A=A11),
3,FALSE),
B11,2)"),"CSK")</f>
        <v>CSK</v>
      </c>
      <c r="E11" s="79">
        <f>IFERROR(__xludf.DUMMYFUNCTION("LARGE(FILTER(IPL_2020_to_2025_Raw!Q:Q, IPL_2020_to_2025_Raw!A:A=A11),B11)"),21.0)</f>
        <v>21</v>
      </c>
      <c r="F11" s="79">
        <f t="array" ref="F11">XLOOKUP(E11,IPL_2020_to_2025_Raw!Q:Q,IPL_2020_to_2025_Raw!R:R)</f>
        <v>58</v>
      </c>
      <c r="G11" s="79">
        <f t="array" ref="G11">XLOOKUP(E11,IPL_2020_to_2025_Raw!Q:Q,IPL_2020_to_2025_Raw!S:S)</f>
        <v>8.02</v>
      </c>
      <c r="H11" s="79" t="str">
        <f t="array" ref="H11">XLOOKUP(E11,IPL_2020_to_2025_Raw!Q:Q,IPL_2020_to_2025_Raw!V:V)</f>
        <v>3/18</v>
      </c>
    </row>
    <row r="12">
      <c r="A12" s="75">
        <v>2021.0</v>
      </c>
      <c r="B12" s="78">
        <v>5.0</v>
      </c>
      <c r="C12" s="79" t="str">
        <f>IFERROR(__xludf.DUMMYFUNCTION("INDEX(
SORT(
FILTER({IPL_2020_to_2025_Raw!B:B, IPL_2020_to_2025_Raw!C:C,IPL_2020_to_2025_Raw!Q:Q},
IPL_2020_to_2025_Raw!A:A=A12),
3,FALSE),
B12,1)"),"Sunil Narine")</f>
        <v>Sunil Narine</v>
      </c>
      <c r="D12" s="80" t="str">
        <f>IFERROR(__xludf.DUMMYFUNCTION("INDEX(
SORT(
FILTER({IPL_2020_to_2025_Raw!B:B, IPL_2020_to_2025_Raw!D:D,IPL_2020_to_2025_Raw!Q:Q},
IPL_2020_to_2025_Raw!A:A=A12),
3,FALSE),
B12,2)"),"KKR")</f>
        <v>KKR</v>
      </c>
      <c r="E12" s="79">
        <f>IFERROR(__xludf.DUMMYFUNCTION("LARGE(FILTER(IPL_2020_to_2025_Raw!Q:Q, IPL_2020_to_2025_Raw!A:A=A12),B12)"),21.0)</f>
        <v>21</v>
      </c>
      <c r="F12" s="79">
        <f t="array" ref="F12">XLOOKUP(E12,IPL_2020_to_2025_Raw!Q:Q,IPL_2020_to_2025_Raw!R:R)</f>
        <v>58</v>
      </c>
      <c r="G12" s="79">
        <f t="array" ref="G12">XLOOKUP(E12,IPL_2020_to_2025_Raw!Q:Q,IPL_2020_to_2025_Raw!S:S)</f>
        <v>8.02</v>
      </c>
      <c r="H12" s="79" t="str">
        <f t="array" ref="H12">XLOOKUP(E12,IPL_2020_to_2025_Raw!Q:Q,IPL_2020_to_2025_Raw!V:V)</f>
        <v>3/18</v>
      </c>
    </row>
    <row r="13">
      <c r="A13" s="81">
        <v>2022.0</v>
      </c>
      <c r="B13" s="76">
        <v>1.0</v>
      </c>
      <c r="C13" s="77" t="str">
        <f>IFERROR(__xludf.DUMMYFUNCTION("INDEX(
SORT(
FILTER({IPL_2020_to_2025_Raw!B:B, IPL_2020_to_2025_Raw!C:C,IPL_2020_to_2025_Raw!Q:Q},
IPL_2020_to_2025_Raw!A:A=A13),
3,FALSE),
B13,1)"),"Yuzvendra Chahal")</f>
        <v>Yuzvendra Chahal</v>
      </c>
      <c r="D13" s="57" t="str">
        <f>IFERROR(__xludf.DUMMYFUNCTION("INDEX(
SORT(
FILTER({IPL_2020_to_2025_Raw!B:B, IPL_2020_to_2025_Raw!D:D,IPL_2020_to_2025_Raw!Q:Q},
IPL_2020_to_2025_Raw!A:A=A13),
3,FALSE),
B13,2)"),"RR")</f>
        <v>RR</v>
      </c>
      <c r="E13" s="70">
        <f>IFERROR(__xludf.DUMMYFUNCTION("LARGE(FILTER(IPL_2020_to_2025_Raw!Q:Q, IPL_2020_to_2025_Raw!A:A=A13),B13)"),27.0)</f>
        <v>27</v>
      </c>
      <c r="F13" s="70">
        <f t="array" ref="F13">XLOOKUP(E13,IPL_2020_to_2025_Raw!Q:Q,IPL_2020_to_2025_Raw!R:R)</f>
        <v>58.1</v>
      </c>
      <c r="G13" s="70">
        <f t="array" ref="G13">XLOOKUP(E13,IPL_2020_to_2025_Raw!Q:Q,IPL_2020_to_2025_Raw!S:S)</f>
        <v>6.73</v>
      </c>
      <c r="H13" s="70" t="str">
        <f t="array" ref="H13">XLOOKUP(E13,IPL_2020_to_2025_Raw!Q:Q,IPL_2020_to_2025_Raw!V:V)</f>
        <v>4/14</v>
      </c>
    </row>
    <row r="14">
      <c r="A14" s="81">
        <v>2022.0</v>
      </c>
      <c r="B14" s="82">
        <v>2.0</v>
      </c>
      <c r="C14" s="83" t="str">
        <f>IFERROR(__xludf.DUMMYFUNCTION("INDEX(
SORT(
FILTER({IPL_2020_to_2025_Raw!B:B, IPL_2020_to_2025_Raw!C:C,IPL_2020_to_2025_Raw!Q:Q},
IPL_2020_to_2025_Raw!A:A=A14),
3,FALSE),
B14,1)"),"Wanindu Hasaranga")</f>
        <v>Wanindu Hasaranga</v>
      </c>
      <c r="D14" s="47" t="str">
        <f>IFERROR(__xludf.DUMMYFUNCTION("INDEX(
SORT(
FILTER({IPL_2020_to_2025_Raw!B:B, IPL_2020_to_2025_Raw!D:D,IPL_2020_to_2025_Raw!Q:Q},
IPL_2020_to_2025_Raw!A:A=A14),
3,FALSE),
B14,2)"),"RCB")</f>
        <v>RCB</v>
      </c>
      <c r="E14" s="83">
        <f>IFERROR(__xludf.DUMMYFUNCTION("LARGE(FILTER(IPL_2020_to_2025_Raw!Q:Q, IPL_2020_to_2025_Raw!A:A=A14),B14)"),26.0)</f>
        <v>26</v>
      </c>
      <c r="F14" s="83">
        <f t="array" ref="F14">XLOOKUP(E14,IPL_2020_to_2025_Raw!Q:Q,IPL_2020_to_2025_Raw!R:R)</f>
        <v>60</v>
      </c>
      <c r="G14" s="83">
        <f t="array" ref="G14">XLOOKUP(E14,IPL_2020_to_2025_Raw!Q:Q,IPL_2020_to_2025_Raw!S:S)</f>
        <v>7.54</v>
      </c>
      <c r="H14" s="83" t="str">
        <f t="array" ref="H14">XLOOKUP(E14,IPL_2020_to_2025_Raw!Q:Q,IPL_2020_to_2025_Raw!V:V)</f>
        <v>4/20</v>
      </c>
    </row>
    <row r="15">
      <c r="A15" s="81">
        <v>2022.0</v>
      </c>
      <c r="B15" s="82">
        <v>3.0</v>
      </c>
      <c r="C15" s="83" t="str">
        <f>IFERROR(__xludf.DUMMYFUNCTION("INDEX(
SORT(
FILTER({IPL_2020_to_2025_Raw!B:B, IPL_2020_to_2025_Raw!C:C,IPL_2020_to_2025_Raw!Q:Q},
IPL_2020_to_2025_Raw!A:A=A15),
3,FALSE),
B15,1)"),"Kagiso Rabada")</f>
        <v>Kagiso Rabada</v>
      </c>
      <c r="D15" s="37" t="str">
        <f>IFERROR(__xludf.DUMMYFUNCTION("INDEX(
SORT(
FILTER({IPL_2020_to_2025_Raw!B:B, IPL_2020_to_2025_Raw!D:D,IPL_2020_to_2025_Raw!Q:Q},
IPL_2020_to_2025_Raw!A:A=A15),
3,FALSE),
B15,2)"),"PBKS")</f>
        <v>PBKS</v>
      </c>
      <c r="E15" s="83">
        <f>IFERROR(__xludf.DUMMYFUNCTION("LARGE(FILTER(IPL_2020_to_2025_Raw!Q:Q, IPL_2020_to_2025_Raw!A:A=A15),B15)"),23.0)</f>
        <v>23</v>
      </c>
      <c r="F15" s="83">
        <f t="array" ref="F15">XLOOKUP(E15,IPL_2020_to_2025_Raw!Q:Q,IPL_2020_to_2025_Raw!R:R)</f>
        <v>50</v>
      </c>
      <c r="G15" s="83">
        <f t="array" ref="G15">XLOOKUP(E15,IPL_2020_to_2025_Raw!Q:Q,IPL_2020_to_2025_Raw!S:S)</f>
        <v>9.33</v>
      </c>
      <c r="H15" s="83" t="str">
        <f t="array" ref="H15">XLOOKUP(E15,IPL_2020_to_2025_Raw!Q:Q,IPL_2020_to_2025_Raw!V:V)</f>
        <v>4/33</v>
      </c>
    </row>
    <row r="16">
      <c r="A16" s="81">
        <v>2022.0</v>
      </c>
      <c r="B16" s="82">
        <v>4.0</v>
      </c>
      <c r="C16" s="83" t="str">
        <f>IFERROR(__xludf.DUMMYFUNCTION("INDEX(
SORT(
FILTER({IPL_2020_to_2025_Raw!B:B, IPL_2020_to_2025_Raw!C:C,IPL_2020_to_2025_Raw!Q:Q},
IPL_2020_to_2025_Raw!A:A=A16),
3,FALSE),
B16,1)"),"Umran Malik")</f>
        <v>Umran Malik</v>
      </c>
      <c r="D16" s="41" t="str">
        <f>IFERROR(__xludf.DUMMYFUNCTION("INDEX(
SORT(
FILTER({IPL_2020_to_2025_Raw!B:B, IPL_2020_to_2025_Raw!D:D,IPL_2020_to_2025_Raw!Q:Q},
IPL_2020_to_2025_Raw!A:A=A16),
3,FALSE),
B16,2)"),"SRH")</f>
        <v>SRH</v>
      </c>
      <c r="E16" s="83">
        <f>IFERROR(__xludf.DUMMYFUNCTION("LARGE(FILTER(IPL_2020_to_2025_Raw!Q:Q, IPL_2020_to_2025_Raw!A:A=A16),B16)"),22.0)</f>
        <v>22</v>
      </c>
      <c r="F16" s="83">
        <f t="array" ref="F16">XLOOKUP(E16,IPL_2020_to_2025_Raw!Q:Q,IPL_2020_to_2025_Raw!R:R)</f>
        <v>58</v>
      </c>
      <c r="G16" s="83">
        <f t="array" ref="G16">XLOOKUP(E16,IPL_2020_to_2025_Raw!Q:Q,IPL_2020_to_2025_Raw!S:S)</f>
        <v>8.37</v>
      </c>
      <c r="H16" s="83" t="str">
        <f t="array" ref="H16">XLOOKUP(E16,IPL_2020_to_2025_Raw!Q:Q,IPL_2020_to_2025_Raw!V:V)</f>
        <v>3/21</v>
      </c>
    </row>
    <row r="17">
      <c r="A17" s="81">
        <v>2022.0</v>
      </c>
      <c r="B17" s="82">
        <v>5.0</v>
      </c>
      <c r="C17" s="83" t="str">
        <f>IFERROR(__xludf.DUMMYFUNCTION("INDEX(
SORT(
FILTER({IPL_2020_to_2025_Raw!B:B, IPL_2020_to_2025_Raw!C:C,IPL_2020_to_2025_Raw!Q:Q},
IPL_2020_to_2025_Raw!A:A=A17),
3,FALSE),
B17,1)"),"Kuldeep Yadav")</f>
        <v>Kuldeep Yadav</v>
      </c>
      <c r="D17" s="40" t="str">
        <f>IFERROR(__xludf.DUMMYFUNCTION("INDEX(
SORT(
FILTER({IPL_2020_to_2025_Raw!B:B, IPL_2020_to_2025_Raw!D:D,IPL_2020_to_2025_Raw!Q:Q},
IPL_2020_to_2025_Raw!A:A=A17),
3,FALSE),
B17,2)"),"DC")</f>
        <v>DC</v>
      </c>
      <c r="E17" s="83">
        <f>IFERROR(__xludf.DUMMYFUNCTION("LARGE(FILTER(IPL_2020_to_2025_Raw!Q:Q, IPL_2020_to_2025_Raw!A:A=A17),B17)"),21.0)</f>
        <v>21</v>
      </c>
      <c r="F17" s="83">
        <f t="array" ref="F17">XLOOKUP(E17,IPL_2020_to_2025_Raw!Q:Q,IPL_2020_to_2025_Raw!R:R)</f>
        <v>58</v>
      </c>
      <c r="G17" s="83">
        <f t="array" ref="G17">XLOOKUP(E17,IPL_2020_to_2025_Raw!Q:Q,IPL_2020_to_2025_Raw!S:S)</f>
        <v>8.02</v>
      </c>
      <c r="H17" s="83" t="str">
        <f t="array" ref="H17">XLOOKUP(E17,IPL_2020_to_2025_Raw!Q:Q,IPL_2020_to_2025_Raw!V:V)</f>
        <v>3/18</v>
      </c>
    </row>
    <row r="18">
      <c r="A18" s="84">
        <v>2023.0</v>
      </c>
      <c r="B18" s="76">
        <v>1.0</v>
      </c>
      <c r="C18" s="77" t="str">
        <f>IFERROR(__xludf.DUMMYFUNCTION("INDEX(
SORT(
FILTER({IPL_2020_to_2025_Raw!B:B, IPL_2020_to_2025_Raw!C:C,IPL_2020_to_2025_Raw!Q:Q},
IPL_2020_to_2025_Raw!A:A=A18),
3,FALSE),
B18,1)"),"Mohammed Shami")</f>
        <v>Mohammed Shami</v>
      </c>
      <c r="D18" s="53" t="str">
        <f>IFERROR(__xludf.DUMMYFUNCTION("INDEX(
SORT(
FILTER({IPL_2020_to_2025_Raw!B:B, IPL_2020_to_2025_Raw!D:D,IPL_2020_to_2025_Raw!Q:Q},
IPL_2020_to_2025_Raw!A:A=A18),
3,FALSE),
B18,2)"),"GT")</f>
        <v>GT</v>
      </c>
      <c r="E18" s="70">
        <f>IFERROR(__xludf.DUMMYFUNCTION("LARGE(FILTER(IPL_2020_to_2025_Raw!Q:Q, IPL_2020_to_2025_Raw!A:A=A18),B18)"),28.0)</f>
        <v>28</v>
      </c>
      <c r="F18" s="70">
        <f t="array" ref="F18">XLOOKUP(E18,IPL_2020_to_2025_Raw!Q:Q,IPL_2020_to_2025_Raw!R:R)</f>
        <v>65</v>
      </c>
      <c r="G18" s="70">
        <f t="array" ref="G18">XLOOKUP(E18,IPL_2020_to_2025_Raw!Q:Q,IPL_2020_to_2025_Raw!S:S)</f>
        <v>8.03</v>
      </c>
      <c r="H18" s="70" t="str">
        <f t="array" ref="H18">XLOOKUP(E18,IPL_2020_to_2025_Raw!Q:Q,IPL_2020_to_2025_Raw!V:V)</f>
        <v>4/17</v>
      </c>
    </row>
    <row r="19">
      <c r="A19" s="84">
        <v>2023.0</v>
      </c>
      <c r="B19" s="85">
        <v>2.0</v>
      </c>
      <c r="C19" s="86" t="str">
        <f>IFERROR(__xludf.DUMMYFUNCTION("INDEX(
SORT(
FILTER({IPL_2020_to_2025_Raw!B:B, IPL_2020_to_2025_Raw!C:C,IPL_2020_to_2025_Raw!Q:Q},
IPL_2020_to_2025_Raw!A:A=A19),
3,FALSE),
B19,1)"),"Rashid Khan")</f>
        <v>Rashid Khan</v>
      </c>
      <c r="D19" s="53" t="str">
        <f>IFERROR(__xludf.DUMMYFUNCTION("INDEX(
SORT(
FILTER({IPL_2020_to_2025_Raw!B:B, IPL_2020_to_2025_Raw!D:D,IPL_2020_to_2025_Raw!Q:Q},
IPL_2020_to_2025_Raw!A:A=A19),
3,FALSE),
B19,2)"),"GT")</f>
        <v>GT</v>
      </c>
      <c r="E19" s="86">
        <f>IFERROR(__xludf.DUMMYFUNCTION("LARGE(FILTER(IPL_2020_to_2025_Raw!Q:Q, IPL_2020_to_2025_Raw!A:A=A19),B19)"),27.0)</f>
        <v>27</v>
      </c>
      <c r="F19" s="86">
        <f t="array" ref="F19">XLOOKUP(E19,IPL_2020_to_2025_Raw!Q:Q,IPL_2020_to_2025_Raw!R:R)</f>
        <v>58.1</v>
      </c>
      <c r="G19" s="86">
        <f t="array" ref="G19">XLOOKUP(E19,IPL_2020_to_2025_Raw!Q:Q,IPL_2020_to_2025_Raw!S:S)</f>
        <v>6.73</v>
      </c>
      <c r="H19" s="86" t="str">
        <f t="array" ref="H19">XLOOKUP(E19,IPL_2020_to_2025_Raw!Q:Q,IPL_2020_to_2025_Raw!V:V)</f>
        <v>4/14</v>
      </c>
    </row>
    <row r="20">
      <c r="A20" s="84">
        <v>2023.0</v>
      </c>
      <c r="B20" s="85">
        <v>3.0</v>
      </c>
      <c r="C20" s="86" t="str">
        <f>IFERROR(__xludf.DUMMYFUNCTION("INDEX(
SORT(
FILTER({IPL_2020_to_2025_Raw!B:B, IPL_2020_to_2025_Raw!C:C,IPL_2020_to_2025_Raw!Q:Q},
IPL_2020_to_2025_Raw!A:A=A20),
3,FALSE),
B20,1)"),"Mohit Sharma")</f>
        <v>Mohit Sharma</v>
      </c>
      <c r="D20" s="53" t="str">
        <f>IFERROR(__xludf.DUMMYFUNCTION("INDEX(
SORT(
FILTER({IPL_2020_to_2025_Raw!B:B, IPL_2020_to_2025_Raw!D:D,IPL_2020_to_2025_Raw!Q:Q},
IPL_2020_to_2025_Raw!A:A=A20),
3,FALSE),
B20,2)"),"GT")</f>
        <v>GT</v>
      </c>
      <c r="E20" s="86">
        <f>IFERROR(__xludf.DUMMYFUNCTION("LARGE(FILTER(IPL_2020_to_2025_Raw!Q:Q, IPL_2020_to_2025_Raw!A:A=A20),B20)"),27.0)</f>
        <v>27</v>
      </c>
      <c r="F20" s="86">
        <f t="array" ref="F20">XLOOKUP(E20,IPL_2020_to_2025_Raw!Q:Q,IPL_2020_to_2025_Raw!R:R)</f>
        <v>58.1</v>
      </c>
      <c r="G20" s="86">
        <f t="array" ref="G20">XLOOKUP(E20,IPL_2020_to_2025_Raw!Q:Q,IPL_2020_to_2025_Raw!S:S)</f>
        <v>6.73</v>
      </c>
      <c r="H20" s="86" t="str">
        <f t="array" ref="H20">XLOOKUP(E20,IPL_2020_to_2025_Raw!Q:Q,IPL_2020_to_2025_Raw!V:V)</f>
        <v>4/14</v>
      </c>
    </row>
    <row r="21">
      <c r="A21" s="84">
        <v>2023.0</v>
      </c>
      <c r="B21" s="85">
        <v>4.0</v>
      </c>
      <c r="C21" s="86" t="str">
        <f>IFERROR(__xludf.DUMMYFUNCTION("INDEX(
SORT(
FILTER({IPL_2020_to_2025_Raw!B:B, IPL_2020_to_2025_Raw!C:C,IPL_2020_to_2025_Raw!Q:Q},
IPL_2020_to_2025_Raw!A:A=A21),
3,FALSE),
B21,1)"),"Piyush Chawla")</f>
        <v>Piyush Chawla</v>
      </c>
      <c r="D21" s="42" t="str">
        <f>IFERROR(__xludf.DUMMYFUNCTION("INDEX(
SORT(
FILTER({IPL_2020_to_2025_Raw!B:B, IPL_2020_to_2025_Raw!D:D,IPL_2020_to_2025_Raw!Q:Q},
IPL_2020_to_2025_Raw!A:A=A21),
3,FALSE),
B21,2)"),"MI")</f>
        <v>MI</v>
      </c>
      <c r="E21" s="86">
        <f>IFERROR(__xludf.DUMMYFUNCTION("LARGE(FILTER(IPL_2020_to_2025_Raw!Q:Q, IPL_2020_to_2025_Raw!A:A=A21),B21)"),22.0)</f>
        <v>22</v>
      </c>
      <c r="F21" s="86">
        <f t="array" ref="F21">XLOOKUP(E21,IPL_2020_to_2025_Raw!Q:Q,IPL_2020_to_2025_Raw!R:R)</f>
        <v>58</v>
      </c>
      <c r="G21" s="86">
        <f t="array" ref="G21">XLOOKUP(E21,IPL_2020_to_2025_Raw!Q:Q,IPL_2020_to_2025_Raw!S:S)</f>
        <v>8.37</v>
      </c>
      <c r="H21" s="86" t="str">
        <f t="array" ref="H21">XLOOKUP(E21,IPL_2020_to_2025_Raw!Q:Q,IPL_2020_to_2025_Raw!V:V)</f>
        <v>3/21</v>
      </c>
    </row>
    <row r="22">
      <c r="A22" s="84">
        <v>2023.0</v>
      </c>
      <c r="B22" s="85">
        <v>5.0</v>
      </c>
      <c r="C22" s="86" t="str">
        <f>IFERROR(__xludf.DUMMYFUNCTION("INDEX(
SORT(
FILTER({IPL_2020_to_2025_Raw!B:B, IPL_2020_to_2025_Raw!C:C,IPL_2020_to_2025_Raw!Q:Q},
IPL_2020_to_2025_Raw!A:A=A22),
3,FALSE),
B22,1)"),"Yuzvendra Chahal")</f>
        <v>Yuzvendra Chahal</v>
      </c>
      <c r="D22" s="57" t="str">
        <f>IFERROR(__xludf.DUMMYFUNCTION("INDEX(
SORT(
FILTER({IPL_2020_to_2025_Raw!B:B, IPL_2020_to_2025_Raw!D:D,IPL_2020_to_2025_Raw!Q:Q},
IPL_2020_to_2025_Raw!A:A=A22),
3,FALSE),
B22,2)"),"RR")</f>
        <v>RR</v>
      </c>
      <c r="E22" s="86">
        <f>IFERROR(__xludf.DUMMYFUNCTION("LARGE(FILTER(IPL_2020_to_2025_Raw!Q:Q, IPL_2020_to_2025_Raw!A:A=A22),B22)"),21.0)</f>
        <v>21</v>
      </c>
      <c r="F22" s="86">
        <f t="array" ref="F22">XLOOKUP(E22,IPL_2020_to_2025_Raw!Q:Q,IPL_2020_to_2025_Raw!R:R)</f>
        <v>58</v>
      </c>
      <c r="G22" s="86">
        <f t="array" ref="G22">XLOOKUP(E22,IPL_2020_to_2025_Raw!Q:Q,IPL_2020_to_2025_Raw!S:S)</f>
        <v>8.02</v>
      </c>
      <c r="H22" s="86" t="str">
        <f t="array" ref="H22">XLOOKUP(E22,IPL_2020_to_2025_Raw!Q:Q,IPL_2020_to_2025_Raw!V:V)</f>
        <v>3/18</v>
      </c>
    </row>
    <row r="23">
      <c r="A23" s="87">
        <v>2024.0</v>
      </c>
      <c r="B23" s="76">
        <v>1.0</v>
      </c>
      <c r="C23" s="77" t="str">
        <f>IFERROR(__xludf.DUMMYFUNCTION("INDEX(
SORT(
FILTER({IPL_2020_to_2025_Raw!B:B, IPL_2020_to_2025_Raw!C:C,IPL_2020_to_2025_Raw!Q:Q},
IPL_2020_to_2025_Raw!A:A=A23),
3,FALSE),
B23,1)"),"Harshal Patel")</f>
        <v>Harshal Patel</v>
      </c>
      <c r="D23" s="37" t="str">
        <f>IFERROR(__xludf.DUMMYFUNCTION("INDEX(
SORT(
FILTER({IPL_2020_to_2025_Raw!B:B, IPL_2020_to_2025_Raw!D:D,IPL_2020_to_2025_Raw!Q:Q},
IPL_2020_to_2025_Raw!A:A=A23),
3,FALSE),
B23,2)"),"PBKS")</f>
        <v>PBKS</v>
      </c>
      <c r="E23" s="70">
        <f>IFERROR(__xludf.DUMMYFUNCTION("LARGE(FILTER(IPL_2020_to_2025_Raw!Q:Q, IPL_2020_to_2025_Raw!A:A=A23),B23)"),24.0)</f>
        <v>24</v>
      </c>
      <c r="F23" s="70">
        <f t="array" ref="F23">XLOOKUP(E23,IPL_2020_to_2025_Raw!Q:Q,IPL_2020_to_2025_Raw!R:R)</f>
        <v>58</v>
      </c>
      <c r="G23" s="70">
        <f t="array" ref="G23">XLOOKUP(E23,IPL_2020_to_2025_Raw!Q:Q,IPL_2020_to_2025_Raw!S:S)</f>
        <v>7.37</v>
      </c>
      <c r="H23" s="70" t="str">
        <f t="array" ref="H23">XLOOKUP(E23,IPL_2020_to_2025_Raw!Q:Q,IPL_2020_to_2025_Raw!V:V)</f>
        <v>4/24</v>
      </c>
    </row>
    <row r="24">
      <c r="A24" s="87">
        <v>2024.0</v>
      </c>
      <c r="B24" s="88">
        <v>2.0</v>
      </c>
      <c r="C24" s="89" t="str">
        <f>IFERROR(__xludf.DUMMYFUNCTION("INDEX(
SORT(
FILTER({IPL_2020_to_2025_Raw!B:B, IPL_2020_to_2025_Raw!C:C,IPL_2020_to_2025_Raw!Q:Q},
IPL_2020_to_2025_Raw!A:A=A24),
3,FALSE),
B24,1)"),"Varun Chakravarthy")</f>
        <v>Varun Chakravarthy</v>
      </c>
      <c r="D24" s="80" t="str">
        <f>IFERROR(__xludf.DUMMYFUNCTION("INDEX(
SORT(
FILTER({IPL_2020_to_2025_Raw!B:B, IPL_2020_to_2025_Raw!D:D,IPL_2020_to_2025_Raw!Q:Q},
IPL_2020_to_2025_Raw!A:A=A24),
3,FALSE),
B24,2)"),"KKR")</f>
        <v>KKR</v>
      </c>
      <c r="E24" s="89">
        <f>IFERROR(__xludf.DUMMYFUNCTION("LARGE(FILTER(IPL_2020_to_2025_Raw!Q:Q, IPL_2020_to_2025_Raw!A:A=A24),B24)"),21.0)</f>
        <v>21</v>
      </c>
      <c r="F24" s="89">
        <f t="array" ref="F24">XLOOKUP(E24,IPL_2020_to_2025_Raw!Q:Q,IPL_2020_to_2025_Raw!R:R)</f>
        <v>58</v>
      </c>
      <c r="G24" s="89">
        <f t="array" ref="G24">XLOOKUP(E24,IPL_2020_to_2025_Raw!Q:Q,IPL_2020_to_2025_Raw!S:S)</f>
        <v>8.02</v>
      </c>
      <c r="H24" s="89" t="str">
        <f t="array" ref="H24">XLOOKUP(E24,IPL_2020_to_2025_Raw!Q:Q,IPL_2020_to_2025_Raw!V:V)</f>
        <v>3/18</v>
      </c>
    </row>
    <row r="25">
      <c r="A25" s="87">
        <v>2024.0</v>
      </c>
      <c r="B25" s="88">
        <v>3.0</v>
      </c>
      <c r="C25" s="89" t="str">
        <f>IFERROR(__xludf.DUMMYFUNCTION("INDEX(
SORT(
FILTER({IPL_2020_to_2025_Raw!B:B, IPL_2020_to_2025_Raw!C:C,IPL_2020_to_2025_Raw!Q:Q},
IPL_2020_to_2025_Raw!A:A=A25),
3,FALSE),
B25,1)"),"Andre Russell")</f>
        <v>Andre Russell</v>
      </c>
      <c r="D25" s="40" t="str">
        <f>IFERROR(__xludf.DUMMYFUNCTION("INDEX(
SORT(
FILTER({IPL_2020_to_2025_Raw!B:B, IPL_2020_to_2025_Raw!D:D,IPL_2020_to_2025_Raw!Q:Q},
IPL_2020_to_2025_Raw!A:A=A25),
3,FALSE),
B25,2)"),"KKR")</f>
        <v>KKR</v>
      </c>
      <c r="E25" s="89">
        <f>IFERROR(__xludf.DUMMYFUNCTION("LARGE(FILTER(IPL_2020_to_2025_Raw!Q:Q, IPL_2020_to_2025_Raw!A:A=A25),B25)"),19.0)</f>
        <v>19</v>
      </c>
      <c r="F25" s="89">
        <f t="array" ref="F25">XLOOKUP(E25,IPL_2020_to_2025_Raw!Q:Q,IPL_2020_to_2025_Raw!R:R)</f>
        <v>52</v>
      </c>
      <c r="G25" s="89">
        <f t="array" ref="G25">XLOOKUP(E25,IPL_2020_to_2025_Raw!Q:Q,IPL_2020_to_2025_Raw!S:S)</f>
        <v>8.12</v>
      </c>
      <c r="H25" s="89" t="str">
        <f t="array" ref="H25">XLOOKUP(E25,IPL_2020_to_2025_Raw!Q:Q,IPL_2020_to_2025_Raw!V:V)</f>
        <v>3/21</v>
      </c>
    </row>
    <row r="26">
      <c r="A26" s="87">
        <v>2024.0</v>
      </c>
      <c r="B26" s="88">
        <v>4.0</v>
      </c>
      <c r="C26" s="89" t="str">
        <f>IFERROR(__xludf.DUMMYFUNCTION("INDEX(
SORT(
FILTER({IPL_2020_to_2025_Raw!B:B, IPL_2020_to_2025_Raw!C:C,IPL_2020_to_2025_Raw!Q:Q},
IPL_2020_to_2025_Raw!A:A=A26),
3,FALSE),
B26,1)"),"Kuldeep Yadav")</f>
        <v>Kuldeep Yadav</v>
      </c>
      <c r="D26" s="80" t="str">
        <f>IFERROR(__xludf.DUMMYFUNCTION("INDEX(
SORT(
FILTER({IPL_2020_to_2025_Raw!B:B, IPL_2020_to_2025_Raw!D:D,IPL_2020_to_2025_Raw!Q:Q},
IPL_2020_to_2025_Raw!A:A=A26),
3,FALSE),
B26,2)"),"DC")</f>
        <v>DC</v>
      </c>
      <c r="E26" s="89">
        <f>IFERROR(__xludf.DUMMYFUNCTION("LARGE(FILTER(IPL_2020_to_2025_Raw!Q:Q, IPL_2020_to_2025_Raw!A:A=A26),B26)"),19.0)</f>
        <v>19</v>
      </c>
      <c r="F26" s="89">
        <f t="array" ref="F26">XLOOKUP(E26,IPL_2020_to_2025_Raw!Q:Q,IPL_2020_to_2025_Raw!R:R)</f>
        <v>52</v>
      </c>
      <c r="G26" s="89">
        <f t="array" ref="G26">XLOOKUP(E26,IPL_2020_to_2025_Raw!Q:Q,IPL_2020_to_2025_Raw!S:S)</f>
        <v>8.12</v>
      </c>
      <c r="H26" s="89" t="str">
        <f t="array" ref="H26">XLOOKUP(E26,IPL_2020_to_2025_Raw!Q:Q,IPL_2020_to_2025_Raw!V:V)</f>
        <v>3/21</v>
      </c>
    </row>
    <row r="27">
      <c r="A27" s="87">
        <v>2024.0</v>
      </c>
      <c r="B27" s="88">
        <v>5.0</v>
      </c>
      <c r="C27" s="89" t="str">
        <f>IFERROR(__xludf.DUMMYFUNCTION("INDEX(
SORT(
FILTER({IPL_2020_to_2025_Raw!B:B, IPL_2020_to_2025_Raw!C:C,IPL_2020_to_2025_Raw!Q:Q},
IPL_2020_to_2025_Raw!A:A=A27),
3,FALSE),
B27,1)"),"Sunil Narine")</f>
        <v>Sunil Narine</v>
      </c>
      <c r="D27" s="42" t="str">
        <f>IFERROR(__xludf.DUMMYFUNCTION("INDEX(
SORT(
FILTER({IPL_2020_to_2025_Raw!B:B, IPL_2020_to_2025_Raw!D:D,IPL_2020_to_2025_Raw!Q:Q},
IPL_2020_to_2025_Raw!A:A=A27),
3,FALSE),
B27,2)"),"KKR")</f>
        <v>KKR</v>
      </c>
      <c r="E27" s="89">
        <f>IFERROR(__xludf.DUMMYFUNCTION("LARGE(FILTER(IPL_2020_to_2025_Raw!Q:Q, IPL_2020_to_2025_Raw!A:A=A27),B27)"),17.0)</f>
        <v>17</v>
      </c>
      <c r="F27" s="89">
        <f t="array" ref="F27">XLOOKUP(E27,IPL_2020_to_2025_Raw!Q:Q,IPL_2020_to_2025_Raw!R:R)</f>
        <v>38</v>
      </c>
      <c r="G27" s="89">
        <f t="array" ref="G27">XLOOKUP(E27,IPL_2020_to_2025_Raw!Q:Q,IPL_2020_to_2025_Raw!S:S)</f>
        <v>9.12</v>
      </c>
      <c r="H27" s="89" t="str">
        <f t="array" ref="H27">XLOOKUP(E27,IPL_2020_to_2025_Raw!Q:Q,IPL_2020_to_2025_Raw!V:V)</f>
        <v>3/14</v>
      </c>
    </row>
    <row r="28">
      <c r="A28" s="90">
        <v>2025.0</v>
      </c>
      <c r="B28" s="76">
        <v>1.0</v>
      </c>
      <c r="C28" s="77" t="str">
        <f>IFERROR(__xludf.DUMMYFUNCTION("INDEX(
SORT(
FILTER({IPL_2020_to_2025_Raw!B:B, IPL_2020_to_2025_Raw!C:C,IPL_2020_to_2025_Raw!Q:Q},
IPL_2020_to_2025_Raw!A:A=A28),
3,FALSE),
B28,1)"),"Prasidh Krishna")</f>
        <v>Prasidh Krishna</v>
      </c>
      <c r="D28" s="53" t="str">
        <f>IFERROR(__xludf.DUMMYFUNCTION("INDEX(
SORT(
FILTER({IPL_2020_to_2025_Raw!B:B, IPL_2020_to_2025_Raw!D:D,IPL_2020_to_2025_Raw!Q:Q},
IPL_2020_to_2025_Raw!A:A=A28),
3,FALSE),
B28,2)"),"GT")</f>
        <v>GT</v>
      </c>
      <c r="E28" s="70">
        <f>IFERROR(__xludf.DUMMYFUNCTION("LARGE(FILTER(IPL_2020_to_2025_Raw!Q:Q, IPL_2020_to_2025_Raw!A:A=A28),B28)"),25.0)</f>
        <v>25</v>
      </c>
      <c r="F28" s="70">
        <f t="array" ref="F28">XLOOKUP(E28,IPL_2020_to_2025_Raw!Q:Q,IPL_2020_to_2025_Raw!R:R)</f>
        <v>57.3</v>
      </c>
      <c r="G28" s="70">
        <f t="array" ref="G28">XLOOKUP(E28,IPL_2020_to_2025_Raw!Q:Q,IPL_2020_to_2025_Raw!S:S)</f>
        <v>7.97</v>
      </c>
      <c r="H28" s="70" t="str">
        <f t="array" ref="H28">XLOOKUP(E28,IPL_2020_to_2025_Raw!Q:Q,IPL_2020_to_2025_Raw!V:V)</f>
        <v>3/21</v>
      </c>
    </row>
    <row r="29">
      <c r="A29" s="90">
        <v>2025.0</v>
      </c>
      <c r="B29" s="91">
        <v>2.0</v>
      </c>
      <c r="C29" s="92" t="str">
        <f>IFERROR(__xludf.DUMMYFUNCTION("INDEX(
SORT(
FILTER({IPL_2020_to_2025_Raw!B:B, IPL_2020_to_2025_Raw!C:C,IPL_2020_to_2025_Raw!Q:Q},
IPL_2020_to_2025_Raw!A:A=A29),
3,FALSE),
B29,1)"),"Noor Ahmad")</f>
        <v>Noor Ahmad</v>
      </c>
      <c r="D29" s="44" t="str">
        <f>IFERROR(__xludf.DUMMYFUNCTION("INDEX(
SORT(
FILTER({IPL_2020_to_2025_Raw!B:B, IPL_2020_to_2025_Raw!D:D,IPL_2020_to_2025_Raw!Q:Q},
IPL_2020_to_2025_Raw!A:A=A29),
3,FALSE),
B29,2)"),"CSK")</f>
        <v>CSK</v>
      </c>
      <c r="E29" s="93">
        <f>IFERROR(__xludf.DUMMYFUNCTION("LARGE(FILTER(IPL_2020_to_2025_Raw!Q:Q, IPL_2020_to_2025_Raw!A:A=A29),B29)"),24.0)</f>
        <v>24</v>
      </c>
      <c r="F29" s="93">
        <f t="array" ref="F29">XLOOKUP(E29,IPL_2020_to_2025_Raw!Q:Q,IPL_2020_to_2025_Raw!R:R)</f>
        <v>58</v>
      </c>
      <c r="G29" s="93">
        <f t="array" ref="G29">XLOOKUP(E29,IPL_2020_to_2025_Raw!Q:Q,IPL_2020_to_2025_Raw!S:S)</f>
        <v>7.37</v>
      </c>
      <c r="H29" s="93" t="str">
        <f t="array" ref="H29">XLOOKUP(E29,IPL_2020_to_2025_Raw!Q:Q,IPL_2020_to_2025_Raw!V:V)</f>
        <v>4/24</v>
      </c>
    </row>
    <row r="30">
      <c r="A30" s="90">
        <v>2025.0</v>
      </c>
      <c r="B30" s="91">
        <v>3.0</v>
      </c>
      <c r="C30" s="93" t="str">
        <f>IFERROR(__xludf.DUMMYFUNCTION("INDEX(
SORT(
FILTER({IPL_2020_to_2025_Raw!B:B, IPL_2020_to_2025_Raw!C:C,IPL_2020_to_2025_Raw!Q:Q},
IPL_2020_to_2025_Raw!A:A=A30),
3,FALSE),
B30,1)"),"Josh Hazlewood")</f>
        <v>Josh Hazlewood</v>
      </c>
      <c r="D30" s="57" t="str">
        <f>IFERROR(__xludf.DUMMYFUNCTION("INDEX(
SORT(
FILTER({IPL_2020_to_2025_Raw!B:B, IPL_2020_to_2025_Raw!D:D,IPL_2020_to_2025_Raw!Q:Q},
IPL_2020_to_2025_Raw!A:A=A30),
3,FALSE),
B30,2)"),"RCB")</f>
        <v>RCB</v>
      </c>
      <c r="E30" s="93">
        <f>IFERROR(__xludf.DUMMYFUNCTION("LARGE(FILTER(IPL_2020_to_2025_Raw!Q:Q, IPL_2020_to_2025_Raw!A:A=A30),B30)"),22.0)</f>
        <v>22</v>
      </c>
      <c r="F30" s="93">
        <f t="array" ref="F30">XLOOKUP(E30,IPL_2020_to_2025_Raw!Q:Q,IPL_2020_to_2025_Raw!R:R)</f>
        <v>58</v>
      </c>
      <c r="G30" s="93">
        <f t="array" ref="G30">XLOOKUP(E30,IPL_2020_to_2025_Raw!Q:Q,IPL_2020_to_2025_Raw!S:S)</f>
        <v>8.37</v>
      </c>
      <c r="H30" s="93" t="str">
        <f t="array" ref="H30">XLOOKUP(E30,IPL_2020_to_2025_Raw!Q:Q,IPL_2020_to_2025_Raw!V:V)</f>
        <v>3/21</v>
      </c>
    </row>
    <row r="31">
      <c r="A31" s="90">
        <v>2025.0</v>
      </c>
      <c r="B31" s="91">
        <v>4.0</v>
      </c>
      <c r="C31" s="93" t="str">
        <f>IFERROR(__xludf.DUMMYFUNCTION("INDEX(
SORT(
FILTER({IPL_2020_to_2025_Raw!B:B, IPL_2020_to_2025_Raw!C:C,IPL_2020_to_2025_Raw!Q:Q},
IPL_2020_to_2025_Raw!A:A=A31),
3,FALSE),
B31,1)"),"Kuldeep Yadav")</f>
        <v>Kuldeep Yadav</v>
      </c>
      <c r="D31" s="47" t="str">
        <f>IFERROR(__xludf.DUMMYFUNCTION("INDEX(
SORT(
FILTER({IPL_2020_to_2025_Raw!B:B, IPL_2020_to_2025_Raw!D:D,IPL_2020_to_2025_Raw!Q:Q},
IPL_2020_to_2025_Raw!A:A=A31),
3,FALSE),
B31,2)"),"DC")</f>
        <v>DC</v>
      </c>
      <c r="E31" s="93">
        <f>IFERROR(__xludf.DUMMYFUNCTION("LARGE(FILTER(IPL_2020_to_2025_Raw!Q:Q, IPL_2020_to_2025_Raw!A:A=A31),B31)"),21.0)</f>
        <v>21</v>
      </c>
      <c r="F31" s="93">
        <f t="array" ref="F31">XLOOKUP(E31,IPL_2020_to_2025_Raw!Q:Q,IPL_2020_to_2025_Raw!R:R)</f>
        <v>58</v>
      </c>
      <c r="G31" s="93">
        <f t="array" ref="G31">XLOOKUP(E31,IPL_2020_to_2025_Raw!Q:Q,IPL_2020_to_2025_Raw!S:S)</f>
        <v>8.02</v>
      </c>
      <c r="H31" s="93" t="str">
        <f t="array" ref="H31">XLOOKUP(E31,IPL_2020_to_2025_Raw!Q:Q,IPL_2020_to_2025_Raw!V:V)</f>
        <v>3/18</v>
      </c>
    </row>
    <row r="32">
      <c r="A32" s="90">
        <v>2025.0</v>
      </c>
      <c r="B32" s="91">
        <v>5.0</v>
      </c>
      <c r="C32" s="93" t="str">
        <f>IFERROR(__xludf.DUMMYFUNCTION("INDEX(
SORT(
FILTER({IPL_2020_to_2025_Raw!B:B, IPL_2020_to_2025_Raw!C:C,IPL_2020_to_2025_Raw!Q:Q},
IPL_2020_to_2025_Raw!A:A=A32),
3,FALSE),
B32,1)"),"Trent Boult")</f>
        <v>Trent Boult</v>
      </c>
      <c r="D32" s="37" t="str">
        <f>IFERROR(__xludf.DUMMYFUNCTION("INDEX(
SORT(
FILTER({IPL_2020_to_2025_Raw!B:B, IPL_2020_to_2025_Raw!D:D,IPL_2020_to_2025_Raw!Q:Q},
IPL_2020_to_2025_Raw!A:A=A32),
3,FALSE),
B32,2)"),"RR")</f>
        <v>RR</v>
      </c>
      <c r="E32" s="93">
        <f>IFERROR(__xludf.DUMMYFUNCTION("LARGE(FILTER(IPL_2020_to_2025_Raw!Q:Q, IPL_2020_to_2025_Raw!A:A=A32),B32)"),19.0)</f>
        <v>19</v>
      </c>
      <c r="F32" s="93">
        <f t="array" ref="F32">XLOOKUP(E32,IPL_2020_to_2025_Raw!Q:Q,IPL_2020_to_2025_Raw!R:R)</f>
        <v>52</v>
      </c>
      <c r="G32" s="93">
        <f t="array" ref="G32">XLOOKUP(E32,IPL_2020_to_2025_Raw!Q:Q,IPL_2020_to_2025_Raw!S:S)</f>
        <v>8.12</v>
      </c>
      <c r="H32" s="93" t="str">
        <f t="array" ref="H32">XLOOKUP(E32,IPL_2020_to_2025_Raw!Q:Q,IPL_2020_to_2025_Raw!V:V)</f>
        <v>3/21</v>
      </c>
    </row>
    <row r="33">
      <c r="B33" s="94"/>
    </row>
    <row r="34">
      <c r="B34" s="94"/>
    </row>
    <row r="35">
      <c r="B35" s="94"/>
    </row>
    <row r="36">
      <c r="B36" s="94"/>
    </row>
    <row r="37">
      <c r="B37" s="94"/>
    </row>
    <row r="38">
      <c r="B38" s="94"/>
    </row>
    <row r="39">
      <c r="B39" s="94"/>
    </row>
    <row r="40">
      <c r="B40" s="94"/>
    </row>
    <row r="41">
      <c r="B41" s="94"/>
    </row>
    <row r="42">
      <c r="B42" s="94"/>
    </row>
    <row r="43">
      <c r="B43" s="94"/>
    </row>
    <row r="44">
      <c r="B44" s="94"/>
    </row>
    <row r="45">
      <c r="B45" s="94"/>
    </row>
    <row r="46">
      <c r="B46" s="94"/>
    </row>
    <row r="47">
      <c r="B47" s="94"/>
    </row>
    <row r="48">
      <c r="B48" s="94"/>
    </row>
    <row r="49">
      <c r="B49" s="94"/>
    </row>
    <row r="50">
      <c r="B50" s="94"/>
    </row>
    <row r="51">
      <c r="B51" s="94"/>
    </row>
    <row r="52">
      <c r="B52" s="94"/>
    </row>
    <row r="53">
      <c r="B53" s="94"/>
    </row>
    <row r="54">
      <c r="B54" s="94"/>
    </row>
    <row r="55">
      <c r="B55" s="94"/>
    </row>
    <row r="56">
      <c r="B56" s="94"/>
    </row>
    <row r="57">
      <c r="B57" s="94"/>
    </row>
    <row r="58">
      <c r="B58" s="94"/>
    </row>
    <row r="59">
      <c r="B59" s="94"/>
    </row>
    <row r="60">
      <c r="B60" s="94"/>
    </row>
    <row r="61">
      <c r="B61" s="94"/>
    </row>
    <row r="62">
      <c r="B62" s="94"/>
    </row>
    <row r="63">
      <c r="B63" s="94"/>
    </row>
    <row r="64">
      <c r="B64" s="94"/>
    </row>
    <row r="65">
      <c r="B65" s="94"/>
    </row>
    <row r="66">
      <c r="B66" s="94"/>
    </row>
    <row r="67">
      <c r="B67" s="94"/>
    </row>
    <row r="68">
      <c r="B68" s="94"/>
    </row>
    <row r="69">
      <c r="B69" s="94"/>
    </row>
    <row r="70">
      <c r="B70" s="94"/>
    </row>
    <row r="71">
      <c r="B71" s="94"/>
    </row>
    <row r="72">
      <c r="B72" s="94"/>
    </row>
    <row r="73">
      <c r="B73" s="94"/>
    </row>
    <row r="74">
      <c r="B74" s="94"/>
    </row>
    <row r="75">
      <c r="B75" s="94"/>
    </row>
    <row r="76">
      <c r="B76" s="94"/>
    </row>
    <row r="77">
      <c r="B77" s="94"/>
    </row>
    <row r="78">
      <c r="B78" s="94"/>
    </row>
    <row r="79">
      <c r="B79" s="94"/>
    </row>
    <row r="80">
      <c r="B80" s="94"/>
    </row>
    <row r="81">
      <c r="B81" s="94"/>
    </row>
    <row r="82">
      <c r="B82" s="94"/>
    </row>
    <row r="83">
      <c r="B83" s="94"/>
    </row>
    <row r="84">
      <c r="B84" s="94"/>
    </row>
    <row r="85">
      <c r="B85" s="94"/>
    </row>
    <row r="86">
      <c r="B86" s="94"/>
    </row>
    <row r="87">
      <c r="B87" s="94"/>
    </row>
    <row r="88">
      <c r="B88" s="94"/>
    </row>
    <row r="89">
      <c r="B89" s="94"/>
    </row>
    <row r="90">
      <c r="B90" s="94"/>
    </row>
    <row r="91">
      <c r="B91" s="94"/>
    </row>
    <row r="92">
      <c r="B92" s="94"/>
    </row>
    <row r="93">
      <c r="B93" s="94"/>
    </row>
    <row r="94">
      <c r="B94" s="94"/>
    </row>
    <row r="95">
      <c r="B95" s="94"/>
    </row>
    <row r="96">
      <c r="B96" s="94"/>
    </row>
    <row r="97">
      <c r="B97" s="94"/>
    </row>
    <row r="98">
      <c r="B98" s="94"/>
    </row>
    <row r="99">
      <c r="B99" s="94"/>
    </row>
    <row r="100">
      <c r="B100" s="94"/>
    </row>
    <row r="101">
      <c r="B101" s="94"/>
    </row>
    <row r="102">
      <c r="B102" s="94"/>
    </row>
    <row r="103">
      <c r="B103" s="94"/>
    </row>
    <row r="104">
      <c r="B104" s="94"/>
    </row>
    <row r="105">
      <c r="B105" s="94"/>
    </row>
    <row r="106">
      <c r="B106" s="94"/>
    </row>
    <row r="107">
      <c r="B107" s="94"/>
    </row>
    <row r="108">
      <c r="B108" s="94"/>
    </row>
    <row r="109">
      <c r="B109" s="94"/>
    </row>
    <row r="110">
      <c r="B110" s="94"/>
    </row>
    <row r="111">
      <c r="B111" s="94"/>
    </row>
    <row r="112">
      <c r="B112" s="94"/>
    </row>
    <row r="113">
      <c r="B113" s="94"/>
    </row>
    <row r="114">
      <c r="B114" s="94"/>
    </row>
    <row r="115">
      <c r="B115" s="94"/>
    </row>
    <row r="116">
      <c r="B116" s="94"/>
    </row>
    <row r="117">
      <c r="B117" s="94"/>
    </row>
    <row r="118">
      <c r="B118" s="94"/>
    </row>
    <row r="119">
      <c r="B119" s="94"/>
    </row>
    <row r="120">
      <c r="B120" s="94"/>
    </row>
    <row r="121">
      <c r="B121" s="94"/>
    </row>
    <row r="122">
      <c r="B122" s="94"/>
    </row>
    <row r="123">
      <c r="B123" s="94"/>
    </row>
    <row r="124">
      <c r="B124" s="94"/>
    </row>
    <row r="125">
      <c r="B125" s="94"/>
    </row>
    <row r="126">
      <c r="B126" s="94"/>
    </row>
    <row r="127">
      <c r="B127" s="94"/>
    </row>
    <row r="128">
      <c r="B128" s="94"/>
    </row>
    <row r="129">
      <c r="B129" s="94"/>
    </row>
    <row r="130">
      <c r="B130" s="94"/>
    </row>
    <row r="131">
      <c r="B131" s="94"/>
    </row>
    <row r="132">
      <c r="B132" s="94"/>
    </row>
    <row r="133">
      <c r="B133" s="94"/>
    </row>
    <row r="134">
      <c r="B134" s="94"/>
    </row>
    <row r="135">
      <c r="B135" s="94"/>
    </row>
    <row r="136">
      <c r="B136" s="94"/>
    </row>
    <row r="137">
      <c r="B137" s="94"/>
    </row>
    <row r="138">
      <c r="B138" s="94"/>
    </row>
    <row r="139">
      <c r="B139" s="94"/>
    </row>
    <row r="140">
      <c r="B140" s="94"/>
    </row>
    <row r="141">
      <c r="B141" s="94"/>
    </row>
    <row r="142">
      <c r="B142" s="94"/>
    </row>
    <row r="143">
      <c r="B143" s="94"/>
    </row>
    <row r="144">
      <c r="B144" s="94"/>
    </row>
    <row r="145">
      <c r="B145" s="94"/>
    </row>
    <row r="146">
      <c r="B146" s="94"/>
    </row>
    <row r="147">
      <c r="B147" s="94"/>
    </row>
    <row r="148">
      <c r="B148" s="94"/>
    </row>
    <row r="149">
      <c r="B149" s="94"/>
    </row>
    <row r="150">
      <c r="B150" s="94"/>
    </row>
    <row r="151">
      <c r="B151" s="94"/>
    </row>
    <row r="152">
      <c r="B152" s="94"/>
    </row>
    <row r="153">
      <c r="B153" s="94"/>
    </row>
    <row r="154">
      <c r="B154" s="94"/>
    </row>
    <row r="155">
      <c r="B155" s="94"/>
    </row>
    <row r="156">
      <c r="B156" s="94"/>
    </row>
    <row r="157">
      <c r="B157" s="94"/>
    </row>
    <row r="158">
      <c r="B158" s="94"/>
    </row>
    <row r="159">
      <c r="B159" s="94"/>
    </row>
    <row r="160">
      <c r="B160" s="94"/>
    </row>
    <row r="161">
      <c r="B161" s="94"/>
    </row>
    <row r="162">
      <c r="B162" s="94"/>
    </row>
    <row r="163">
      <c r="B163" s="94"/>
    </row>
    <row r="164">
      <c r="B164" s="94"/>
    </row>
    <row r="165">
      <c r="B165" s="94"/>
    </row>
    <row r="166">
      <c r="B166" s="94"/>
    </row>
    <row r="167">
      <c r="B167" s="94"/>
    </row>
    <row r="168">
      <c r="B168" s="94"/>
    </row>
    <row r="169">
      <c r="B169" s="94"/>
    </row>
    <row r="170">
      <c r="B170" s="94"/>
    </row>
    <row r="171">
      <c r="B171" s="94"/>
    </row>
    <row r="172">
      <c r="B172" s="94"/>
    </row>
    <row r="173">
      <c r="B173" s="94"/>
    </row>
    <row r="174">
      <c r="B174" s="94"/>
    </row>
    <row r="175">
      <c r="B175" s="94"/>
    </row>
    <row r="176">
      <c r="B176" s="94"/>
    </row>
    <row r="177">
      <c r="B177" s="94"/>
    </row>
    <row r="178">
      <c r="B178" s="94"/>
    </row>
    <row r="179">
      <c r="B179" s="94"/>
    </row>
    <row r="180">
      <c r="B180" s="94"/>
    </row>
    <row r="181">
      <c r="B181" s="94"/>
    </row>
    <row r="182">
      <c r="B182" s="94"/>
    </row>
    <row r="183">
      <c r="B183" s="94"/>
    </row>
    <row r="184">
      <c r="B184" s="94"/>
    </row>
    <row r="185">
      <c r="B185" s="94"/>
    </row>
    <row r="186">
      <c r="B186" s="94"/>
    </row>
    <row r="187">
      <c r="B187" s="94"/>
    </row>
    <row r="188">
      <c r="B188" s="94"/>
    </row>
    <row r="189">
      <c r="B189" s="94"/>
    </row>
    <row r="190">
      <c r="B190" s="94"/>
    </row>
    <row r="191">
      <c r="B191" s="94"/>
    </row>
    <row r="192">
      <c r="B192" s="94"/>
    </row>
    <row r="193">
      <c r="B193" s="94"/>
    </row>
    <row r="194">
      <c r="B194" s="94"/>
    </row>
    <row r="195">
      <c r="B195" s="94"/>
    </row>
    <row r="196">
      <c r="B196" s="94"/>
    </row>
    <row r="197">
      <c r="B197" s="94"/>
    </row>
    <row r="198">
      <c r="B198" s="94"/>
    </row>
    <row r="199">
      <c r="B199" s="94"/>
    </row>
    <row r="200">
      <c r="B200" s="94"/>
    </row>
    <row r="201">
      <c r="B201" s="94"/>
    </row>
    <row r="202">
      <c r="B202" s="94"/>
    </row>
    <row r="203">
      <c r="B203" s="94"/>
    </row>
    <row r="204">
      <c r="B204" s="94"/>
    </row>
    <row r="205">
      <c r="B205" s="94"/>
    </row>
    <row r="206">
      <c r="B206" s="94"/>
    </row>
    <row r="207">
      <c r="B207" s="94"/>
    </row>
    <row r="208">
      <c r="B208" s="94"/>
    </row>
    <row r="209">
      <c r="B209" s="94"/>
    </row>
    <row r="210">
      <c r="B210" s="94"/>
    </row>
    <row r="211">
      <c r="B211" s="94"/>
    </row>
    <row r="212">
      <c r="B212" s="94"/>
    </row>
    <row r="213">
      <c r="B213" s="94"/>
    </row>
    <row r="214">
      <c r="B214" s="94"/>
    </row>
    <row r="215">
      <c r="B215" s="94"/>
    </row>
    <row r="216">
      <c r="B216" s="94"/>
    </row>
    <row r="217">
      <c r="B217" s="94"/>
    </row>
    <row r="218">
      <c r="B218" s="94"/>
    </row>
    <row r="219">
      <c r="B219" s="94"/>
    </row>
    <row r="220">
      <c r="B220" s="94"/>
    </row>
    <row r="221">
      <c r="B221" s="94"/>
    </row>
    <row r="222">
      <c r="B222" s="94"/>
    </row>
    <row r="223">
      <c r="B223" s="94"/>
    </row>
    <row r="224">
      <c r="B224" s="94"/>
    </row>
    <row r="225">
      <c r="B225" s="94"/>
    </row>
    <row r="226">
      <c r="B226" s="94"/>
    </row>
    <row r="227">
      <c r="B227" s="94"/>
    </row>
    <row r="228">
      <c r="B228" s="94"/>
    </row>
    <row r="229">
      <c r="B229" s="94"/>
    </row>
    <row r="230">
      <c r="B230" s="94"/>
    </row>
    <row r="231">
      <c r="B231" s="94"/>
    </row>
    <row r="232">
      <c r="B232" s="94"/>
    </row>
    <row r="233">
      <c r="B233" s="94"/>
    </row>
    <row r="234">
      <c r="B234" s="94"/>
    </row>
    <row r="235">
      <c r="B235" s="94"/>
    </row>
    <row r="236">
      <c r="B236" s="94"/>
    </row>
    <row r="237">
      <c r="B237" s="94"/>
    </row>
    <row r="238">
      <c r="B238" s="94"/>
    </row>
    <row r="239">
      <c r="B239" s="94"/>
    </row>
    <row r="240">
      <c r="B240" s="94"/>
    </row>
    <row r="241">
      <c r="B241" s="94"/>
    </row>
    <row r="242">
      <c r="B242" s="94"/>
    </row>
    <row r="243">
      <c r="B243" s="94"/>
    </row>
    <row r="244">
      <c r="B244" s="94"/>
    </row>
    <row r="245">
      <c r="B245" s="94"/>
    </row>
    <row r="246">
      <c r="B246" s="94"/>
    </row>
    <row r="247">
      <c r="B247" s="94"/>
    </row>
    <row r="248">
      <c r="B248" s="94"/>
    </row>
    <row r="249">
      <c r="B249" s="94"/>
    </row>
    <row r="250">
      <c r="B250" s="94"/>
    </row>
    <row r="251">
      <c r="B251" s="94"/>
    </row>
    <row r="252">
      <c r="B252" s="94"/>
    </row>
    <row r="253">
      <c r="B253" s="94"/>
    </row>
    <row r="254">
      <c r="B254" s="94"/>
    </row>
    <row r="255">
      <c r="B255" s="94"/>
    </row>
    <row r="256">
      <c r="B256" s="94"/>
    </row>
    <row r="257">
      <c r="B257" s="94"/>
    </row>
    <row r="258">
      <c r="B258" s="94"/>
    </row>
    <row r="259">
      <c r="B259" s="94"/>
    </row>
    <row r="260">
      <c r="B260" s="94"/>
    </row>
    <row r="261">
      <c r="B261" s="94"/>
    </row>
    <row r="262">
      <c r="B262" s="94"/>
    </row>
    <row r="263">
      <c r="B263" s="94"/>
    </row>
    <row r="264">
      <c r="B264" s="94"/>
    </row>
    <row r="265">
      <c r="B265" s="94"/>
    </row>
    <row r="266">
      <c r="B266" s="94"/>
    </row>
    <row r="267">
      <c r="B267" s="94"/>
    </row>
    <row r="268">
      <c r="B268" s="94"/>
    </row>
    <row r="269">
      <c r="B269" s="94"/>
    </row>
    <row r="270">
      <c r="B270" s="94"/>
    </row>
    <row r="271">
      <c r="B271" s="94"/>
    </row>
    <row r="272">
      <c r="B272" s="94"/>
    </row>
    <row r="273">
      <c r="B273" s="94"/>
    </row>
    <row r="274">
      <c r="B274" s="94"/>
    </row>
    <row r="275">
      <c r="B275" s="94"/>
    </row>
    <row r="276">
      <c r="B276" s="94"/>
    </row>
    <row r="277">
      <c r="B277" s="94"/>
    </row>
    <row r="278">
      <c r="B278" s="94"/>
    </row>
    <row r="279">
      <c r="B279" s="94"/>
    </row>
    <row r="280">
      <c r="B280" s="94"/>
    </row>
    <row r="281">
      <c r="B281" s="94"/>
    </row>
    <row r="282">
      <c r="B282" s="94"/>
    </row>
    <row r="283">
      <c r="B283" s="94"/>
    </row>
    <row r="284">
      <c r="B284" s="94"/>
    </row>
    <row r="285">
      <c r="B285" s="94"/>
    </row>
    <row r="286">
      <c r="B286" s="94"/>
    </row>
    <row r="287">
      <c r="B287" s="94"/>
    </row>
    <row r="288">
      <c r="B288" s="94"/>
    </row>
    <row r="289">
      <c r="B289" s="94"/>
    </row>
    <row r="290">
      <c r="B290" s="94"/>
    </row>
    <row r="291">
      <c r="B291" s="94"/>
    </row>
    <row r="292">
      <c r="B292" s="94"/>
    </row>
    <row r="293">
      <c r="B293" s="94"/>
    </row>
    <row r="294">
      <c r="B294" s="94"/>
    </row>
    <row r="295">
      <c r="B295" s="94"/>
    </row>
    <row r="296">
      <c r="B296" s="94"/>
    </row>
    <row r="297">
      <c r="B297" s="94"/>
    </row>
    <row r="298">
      <c r="B298" s="94"/>
    </row>
    <row r="299">
      <c r="B299" s="94"/>
    </row>
    <row r="300">
      <c r="B300" s="94"/>
    </row>
    <row r="301">
      <c r="B301" s="94"/>
    </row>
    <row r="302">
      <c r="B302" s="94"/>
    </row>
    <row r="303">
      <c r="B303" s="94"/>
    </row>
    <row r="304">
      <c r="B304" s="94"/>
    </row>
    <row r="305">
      <c r="B305" s="94"/>
    </row>
    <row r="306">
      <c r="B306" s="94"/>
    </row>
    <row r="307">
      <c r="B307" s="94"/>
    </row>
    <row r="308">
      <c r="B308" s="94"/>
    </row>
    <row r="309">
      <c r="B309" s="94"/>
    </row>
    <row r="310">
      <c r="B310" s="94"/>
    </row>
    <row r="311">
      <c r="B311" s="94"/>
    </row>
    <row r="312">
      <c r="B312" s="94"/>
    </row>
    <row r="313">
      <c r="B313" s="94"/>
    </row>
    <row r="314">
      <c r="B314" s="94"/>
    </row>
    <row r="315">
      <c r="B315" s="94"/>
    </row>
    <row r="316">
      <c r="B316" s="94"/>
    </row>
    <row r="317">
      <c r="B317" s="94"/>
    </row>
    <row r="318">
      <c r="B318" s="94"/>
    </row>
    <row r="319">
      <c r="B319" s="94"/>
    </row>
    <row r="320">
      <c r="B320" s="94"/>
    </row>
    <row r="321">
      <c r="B321" s="94"/>
    </row>
    <row r="322">
      <c r="B322" s="94"/>
    </row>
    <row r="323">
      <c r="B323" s="94"/>
    </row>
    <row r="324">
      <c r="B324" s="94"/>
    </row>
    <row r="325">
      <c r="B325" s="94"/>
    </row>
    <row r="326">
      <c r="B326" s="94"/>
    </row>
    <row r="327">
      <c r="B327" s="94"/>
    </row>
    <row r="328">
      <c r="B328" s="94"/>
    </row>
    <row r="329">
      <c r="B329" s="94"/>
    </row>
    <row r="330">
      <c r="B330" s="94"/>
    </row>
    <row r="331">
      <c r="B331" s="94"/>
    </row>
    <row r="332">
      <c r="B332" s="94"/>
    </row>
    <row r="333">
      <c r="B333" s="94"/>
    </row>
    <row r="334">
      <c r="B334" s="94"/>
    </row>
    <row r="335">
      <c r="B335" s="94"/>
    </row>
    <row r="336">
      <c r="B336" s="94"/>
    </row>
    <row r="337">
      <c r="B337" s="94"/>
    </row>
    <row r="338">
      <c r="B338" s="94"/>
    </row>
    <row r="339">
      <c r="B339" s="94"/>
    </row>
    <row r="340">
      <c r="B340" s="94"/>
    </row>
    <row r="341">
      <c r="B341" s="94"/>
    </row>
    <row r="342">
      <c r="B342" s="94"/>
    </row>
    <row r="343">
      <c r="B343" s="94"/>
    </row>
    <row r="344">
      <c r="B344" s="94"/>
    </row>
    <row r="345">
      <c r="B345" s="94"/>
    </row>
    <row r="346">
      <c r="B346" s="94"/>
    </row>
    <row r="347">
      <c r="B347" s="94"/>
    </row>
    <row r="348">
      <c r="B348" s="94"/>
    </row>
    <row r="349">
      <c r="B349" s="94"/>
    </row>
    <row r="350">
      <c r="B350" s="94"/>
    </row>
    <row r="351">
      <c r="B351" s="94"/>
    </row>
    <row r="352">
      <c r="B352" s="94"/>
    </row>
    <row r="353">
      <c r="B353" s="94"/>
    </row>
    <row r="354">
      <c r="B354" s="94"/>
    </row>
    <row r="355">
      <c r="B355" s="94"/>
    </row>
    <row r="356">
      <c r="B356" s="94"/>
    </row>
    <row r="357">
      <c r="B357" s="94"/>
    </row>
    <row r="358">
      <c r="B358" s="94"/>
    </row>
    <row r="359">
      <c r="B359" s="94"/>
    </row>
    <row r="360">
      <c r="B360" s="94"/>
    </row>
    <row r="361">
      <c r="B361" s="94"/>
    </row>
    <row r="362">
      <c r="B362" s="94"/>
    </row>
    <row r="363">
      <c r="B363" s="94"/>
    </row>
    <row r="364">
      <c r="B364" s="94"/>
    </row>
    <row r="365">
      <c r="B365" s="94"/>
    </row>
    <row r="366">
      <c r="B366" s="94"/>
    </row>
    <row r="367">
      <c r="B367" s="94"/>
    </row>
    <row r="368">
      <c r="B368" s="94"/>
    </row>
    <row r="369">
      <c r="B369" s="94"/>
    </row>
    <row r="370">
      <c r="B370" s="94"/>
    </row>
    <row r="371">
      <c r="B371" s="94"/>
    </row>
    <row r="372">
      <c r="B372" s="94"/>
    </row>
    <row r="373">
      <c r="B373" s="94"/>
    </row>
    <row r="374">
      <c r="B374" s="94"/>
    </row>
    <row r="375">
      <c r="B375" s="94"/>
    </row>
    <row r="376">
      <c r="B376" s="94"/>
    </row>
    <row r="377">
      <c r="B377" s="94"/>
    </row>
    <row r="378">
      <c r="B378" s="94"/>
    </row>
    <row r="379">
      <c r="B379" s="94"/>
    </row>
    <row r="380">
      <c r="B380" s="94"/>
    </row>
    <row r="381">
      <c r="B381" s="94"/>
    </row>
    <row r="382">
      <c r="B382" s="94"/>
    </row>
    <row r="383">
      <c r="B383" s="94"/>
    </row>
    <row r="384">
      <c r="B384" s="94"/>
    </row>
    <row r="385">
      <c r="B385" s="94"/>
    </row>
    <row r="386">
      <c r="B386" s="94"/>
    </row>
    <row r="387">
      <c r="B387" s="94"/>
    </row>
    <row r="388">
      <c r="B388" s="94"/>
    </row>
    <row r="389">
      <c r="B389" s="94"/>
    </row>
    <row r="390">
      <c r="B390" s="94"/>
    </row>
    <row r="391">
      <c r="B391" s="94"/>
    </row>
    <row r="392">
      <c r="B392" s="94"/>
    </row>
    <row r="393">
      <c r="B393" s="94"/>
    </row>
    <row r="394">
      <c r="B394" s="94"/>
    </row>
    <row r="395">
      <c r="B395" s="94"/>
    </row>
    <row r="396">
      <c r="B396" s="94"/>
    </row>
    <row r="397">
      <c r="B397" s="94"/>
    </row>
    <row r="398">
      <c r="B398" s="94"/>
    </row>
    <row r="399">
      <c r="B399" s="94"/>
    </row>
    <row r="400">
      <c r="B400" s="94"/>
    </row>
    <row r="401">
      <c r="B401" s="94"/>
    </row>
    <row r="402">
      <c r="B402" s="94"/>
    </row>
    <row r="403">
      <c r="B403" s="94"/>
    </row>
    <row r="404">
      <c r="B404" s="94"/>
    </row>
    <row r="405">
      <c r="B405" s="94"/>
    </row>
    <row r="406">
      <c r="B406" s="94"/>
    </row>
    <row r="407">
      <c r="B407" s="94"/>
    </row>
    <row r="408">
      <c r="B408" s="94"/>
    </row>
    <row r="409">
      <c r="B409" s="94"/>
    </row>
    <row r="410">
      <c r="B410" s="94"/>
    </row>
    <row r="411">
      <c r="B411" s="94"/>
    </row>
    <row r="412">
      <c r="B412" s="94"/>
    </row>
    <row r="413">
      <c r="B413" s="94"/>
    </row>
    <row r="414">
      <c r="B414" s="94"/>
    </row>
    <row r="415">
      <c r="B415" s="94"/>
    </row>
    <row r="416">
      <c r="B416" s="94"/>
    </row>
    <row r="417">
      <c r="B417" s="94"/>
    </row>
    <row r="418">
      <c r="B418" s="94"/>
    </row>
    <row r="419">
      <c r="B419" s="94"/>
    </row>
    <row r="420">
      <c r="B420" s="94"/>
    </row>
    <row r="421">
      <c r="B421" s="94"/>
    </row>
    <row r="422">
      <c r="B422" s="94"/>
    </row>
    <row r="423">
      <c r="B423" s="94"/>
    </row>
    <row r="424">
      <c r="B424" s="94"/>
    </row>
    <row r="425">
      <c r="B425" s="94"/>
    </row>
    <row r="426">
      <c r="B426" s="94"/>
    </row>
    <row r="427">
      <c r="B427" s="94"/>
    </row>
    <row r="428">
      <c r="B428" s="94"/>
    </row>
    <row r="429">
      <c r="B429" s="94"/>
    </row>
    <row r="430">
      <c r="B430" s="94"/>
    </row>
    <row r="431">
      <c r="B431" s="94"/>
    </row>
    <row r="432">
      <c r="B432" s="94"/>
    </row>
    <row r="433">
      <c r="B433" s="94"/>
    </row>
    <row r="434">
      <c r="B434" s="94"/>
    </row>
    <row r="435">
      <c r="B435" s="94"/>
    </row>
    <row r="436">
      <c r="B436" s="94"/>
    </row>
    <row r="437">
      <c r="B437" s="94"/>
    </row>
    <row r="438">
      <c r="B438" s="94"/>
    </row>
    <row r="439">
      <c r="B439" s="94"/>
    </row>
    <row r="440">
      <c r="B440" s="94"/>
    </row>
    <row r="441">
      <c r="B441" s="94"/>
    </row>
    <row r="442">
      <c r="B442" s="94"/>
    </row>
    <row r="443">
      <c r="B443" s="94"/>
    </row>
    <row r="444">
      <c r="B444" s="94"/>
    </row>
    <row r="445">
      <c r="B445" s="94"/>
    </row>
    <row r="446">
      <c r="B446" s="94"/>
    </row>
    <row r="447">
      <c r="B447" s="94"/>
    </row>
    <row r="448">
      <c r="B448" s="94"/>
    </row>
    <row r="449">
      <c r="B449" s="94"/>
    </row>
    <row r="450">
      <c r="B450" s="94"/>
    </row>
    <row r="451">
      <c r="B451" s="94"/>
    </row>
    <row r="452">
      <c r="B452" s="94"/>
    </row>
    <row r="453">
      <c r="B453" s="94"/>
    </row>
    <row r="454">
      <c r="B454" s="94"/>
    </row>
    <row r="455">
      <c r="B455" s="94"/>
    </row>
    <row r="456">
      <c r="B456" s="94"/>
    </row>
    <row r="457">
      <c r="B457" s="94"/>
    </row>
    <row r="458">
      <c r="B458" s="94"/>
    </row>
    <row r="459">
      <c r="B459" s="94"/>
    </row>
    <row r="460">
      <c r="B460" s="94"/>
    </row>
    <row r="461">
      <c r="B461" s="94"/>
    </row>
    <row r="462">
      <c r="B462" s="94"/>
    </row>
    <row r="463">
      <c r="B463" s="94"/>
    </row>
    <row r="464">
      <c r="B464" s="94"/>
    </row>
    <row r="465">
      <c r="B465" s="94"/>
    </row>
    <row r="466">
      <c r="B466" s="94"/>
    </row>
    <row r="467">
      <c r="B467" s="94"/>
    </row>
    <row r="468">
      <c r="B468" s="94"/>
    </row>
    <row r="469">
      <c r="B469" s="94"/>
    </row>
    <row r="470">
      <c r="B470" s="94"/>
    </row>
    <row r="471">
      <c r="B471" s="94"/>
    </row>
    <row r="472">
      <c r="B472" s="94"/>
    </row>
    <row r="473">
      <c r="B473" s="94"/>
    </row>
    <row r="474">
      <c r="B474" s="94"/>
    </row>
    <row r="475">
      <c r="B475" s="94"/>
    </row>
    <row r="476">
      <c r="B476" s="94"/>
    </row>
    <row r="477">
      <c r="B477" s="94"/>
    </row>
    <row r="478">
      <c r="B478" s="94"/>
    </row>
    <row r="479">
      <c r="B479" s="94"/>
    </row>
    <row r="480">
      <c r="B480" s="94"/>
    </row>
    <row r="481">
      <c r="B481" s="94"/>
    </row>
    <row r="482">
      <c r="B482" s="94"/>
    </row>
    <row r="483">
      <c r="B483" s="94"/>
    </row>
    <row r="484">
      <c r="B484" s="94"/>
    </row>
    <row r="485">
      <c r="B485" s="94"/>
    </row>
    <row r="486">
      <c r="B486" s="94"/>
    </row>
    <row r="487">
      <c r="B487" s="94"/>
    </row>
    <row r="488">
      <c r="B488" s="94"/>
    </row>
    <row r="489">
      <c r="B489" s="94"/>
    </row>
    <row r="490">
      <c r="B490" s="94"/>
    </row>
    <row r="491">
      <c r="B491" s="94"/>
    </row>
    <row r="492">
      <c r="B492" s="94"/>
    </row>
    <row r="493">
      <c r="B493" s="94"/>
    </row>
    <row r="494">
      <c r="B494" s="94"/>
    </row>
    <row r="495">
      <c r="B495" s="94"/>
    </row>
    <row r="496">
      <c r="B496" s="94"/>
    </row>
    <row r="497">
      <c r="B497" s="94"/>
    </row>
    <row r="498">
      <c r="B498" s="94"/>
    </row>
    <row r="499">
      <c r="B499" s="94"/>
    </row>
    <row r="500">
      <c r="B500" s="94"/>
    </row>
    <row r="501">
      <c r="B501" s="94"/>
    </row>
    <row r="502">
      <c r="B502" s="94"/>
    </row>
    <row r="503">
      <c r="B503" s="94"/>
    </row>
    <row r="504">
      <c r="B504" s="94"/>
    </row>
    <row r="505">
      <c r="B505" s="94"/>
    </row>
    <row r="506">
      <c r="B506" s="94"/>
    </row>
    <row r="507">
      <c r="B507" s="94"/>
    </row>
    <row r="508">
      <c r="B508" s="94"/>
    </row>
    <row r="509">
      <c r="B509" s="94"/>
    </row>
    <row r="510">
      <c r="B510" s="94"/>
    </row>
    <row r="511">
      <c r="B511" s="94"/>
    </row>
    <row r="512">
      <c r="B512" s="94"/>
    </row>
    <row r="513">
      <c r="B513" s="94"/>
    </row>
    <row r="514">
      <c r="B514" s="94"/>
    </row>
    <row r="515">
      <c r="B515" s="94"/>
    </row>
    <row r="516">
      <c r="B516" s="94"/>
    </row>
    <row r="517">
      <c r="B517" s="94"/>
    </row>
    <row r="518">
      <c r="B518" s="94"/>
    </row>
    <row r="519">
      <c r="B519" s="94"/>
    </row>
    <row r="520">
      <c r="B520" s="94"/>
    </row>
    <row r="521">
      <c r="B521" s="94"/>
    </row>
    <row r="522">
      <c r="B522" s="94"/>
    </row>
    <row r="523">
      <c r="B523" s="94"/>
    </row>
    <row r="524">
      <c r="B524" s="94"/>
    </row>
    <row r="525">
      <c r="B525" s="94"/>
    </row>
    <row r="526">
      <c r="B526" s="94"/>
    </row>
    <row r="527">
      <c r="B527" s="94"/>
    </row>
    <row r="528">
      <c r="B528" s="94"/>
    </row>
    <row r="529">
      <c r="B529" s="94"/>
    </row>
    <row r="530">
      <c r="B530" s="94"/>
    </row>
    <row r="531">
      <c r="B531" s="94"/>
    </row>
    <row r="532">
      <c r="B532" s="94"/>
    </row>
    <row r="533">
      <c r="B533" s="94"/>
    </row>
    <row r="534">
      <c r="B534" s="94"/>
    </row>
    <row r="535">
      <c r="B535" s="94"/>
    </row>
    <row r="536">
      <c r="B536" s="94"/>
    </row>
    <row r="537">
      <c r="B537" s="94"/>
    </row>
    <row r="538">
      <c r="B538" s="94"/>
    </row>
    <row r="539">
      <c r="B539" s="94"/>
    </row>
    <row r="540">
      <c r="B540" s="94"/>
    </row>
    <row r="541">
      <c r="B541" s="94"/>
    </row>
    <row r="542">
      <c r="B542" s="94"/>
    </row>
    <row r="543">
      <c r="B543" s="94"/>
    </row>
    <row r="544">
      <c r="B544" s="94"/>
    </row>
    <row r="545">
      <c r="B545" s="94"/>
    </row>
    <row r="546">
      <c r="B546" s="94"/>
    </row>
    <row r="547">
      <c r="B547" s="94"/>
    </row>
    <row r="548">
      <c r="B548" s="94"/>
    </row>
    <row r="549">
      <c r="B549" s="94"/>
    </row>
    <row r="550">
      <c r="B550" s="94"/>
    </row>
    <row r="551">
      <c r="B551" s="94"/>
    </row>
    <row r="552">
      <c r="B552" s="94"/>
    </row>
    <row r="553">
      <c r="B553" s="94"/>
    </row>
    <row r="554">
      <c r="B554" s="94"/>
    </row>
    <row r="555">
      <c r="B555" s="94"/>
    </row>
    <row r="556">
      <c r="B556" s="94"/>
    </row>
    <row r="557">
      <c r="B557" s="94"/>
    </row>
    <row r="558">
      <c r="B558" s="94"/>
    </row>
    <row r="559">
      <c r="B559" s="94"/>
    </row>
    <row r="560">
      <c r="B560" s="94"/>
    </row>
    <row r="561">
      <c r="B561" s="94"/>
    </row>
    <row r="562">
      <c r="B562" s="94"/>
    </row>
    <row r="563">
      <c r="B563" s="94"/>
    </row>
    <row r="564">
      <c r="B564" s="94"/>
    </row>
    <row r="565">
      <c r="B565" s="94"/>
    </row>
    <row r="566">
      <c r="B566" s="94"/>
    </row>
    <row r="567">
      <c r="B567" s="94"/>
    </row>
    <row r="568">
      <c r="B568" s="94"/>
    </row>
    <row r="569">
      <c r="B569" s="94"/>
    </row>
    <row r="570">
      <c r="B570" s="94"/>
    </row>
    <row r="571">
      <c r="B571" s="94"/>
    </row>
    <row r="572">
      <c r="B572" s="94"/>
    </row>
    <row r="573">
      <c r="B573" s="94"/>
    </row>
    <row r="574">
      <c r="B574" s="94"/>
    </row>
    <row r="575">
      <c r="B575" s="94"/>
    </row>
    <row r="576">
      <c r="B576" s="94"/>
    </row>
    <row r="577">
      <c r="B577" s="94"/>
    </row>
    <row r="578">
      <c r="B578" s="94"/>
    </row>
    <row r="579">
      <c r="B579" s="94"/>
    </row>
    <row r="580">
      <c r="B580" s="94"/>
    </row>
    <row r="581">
      <c r="B581" s="94"/>
    </row>
    <row r="582">
      <c r="B582" s="94"/>
    </row>
    <row r="583">
      <c r="B583" s="94"/>
    </row>
    <row r="584">
      <c r="B584" s="94"/>
    </row>
    <row r="585">
      <c r="B585" s="94"/>
    </row>
    <row r="586">
      <c r="B586" s="94"/>
    </row>
    <row r="587">
      <c r="B587" s="94"/>
    </row>
    <row r="588">
      <c r="B588" s="94"/>
    </row>
    <row r="589">
      <c r="B589" s="94"/>
    </row>
    <row r="590">
      <c r="B590" s="94"/>
    </row>
    <row r="591">
      <c r="B591" s="94"/>
    </row>
    <row r="592">
      <c r="B592" s="94"/>
    </row>
    <row r="593">
      <c r="B593" s="94"/>
    </row>
    <row r="594">
      <c r="B594" s="94"/>
    </row>
    <row r="595">
      <c r="B595" s="94"/>
    </row>
    <row r="596">
      <c r="B596" s="94"/>
    </row>
    <row r="597">
      <c r="B597" s="94"/>
    </row>
    <row r="598">
      <c r="B598" s="94"/>
    </row>
    <row r="599">
      <c r="B599" s="94"/>
    </row>
    <row r="600">
      <c r="B600" s="94"/>
    </row>
    <row r="601">
      <c r="B601" s="94"/>
    </row>
    <row r="602">
      <c r="B602" s="94"/>
    </row>
    <row r="603">
      <c r="B603" s="94"/>
    </row>
    <row r="604">
      <c r="B604" s="94"/>
    </row>
    <row r="605">
      <c r="B605" s="94"/>
    </row>
    <row r="606">
      <c r="B606" s="94"/>
    </row>
    <row r="607">
      <c r="B607" s="94"/>
    </row>
    <row r="608">
      <c r="B608" s="94"/>
    </row>
    <row r="609">
      <c r="B609" s="94"/>
    </row>
    <row r="610">
      <c r="B610" s="94"/>
    </row>
    <row r="611">
      <c r="B611" s="94"/>
    </row>
    <row r="612">
      <c r="B612" s="94"/>
    </row>
    <row r="613">
      <c r="B613" s="94"/>
    </row>
    <row r="614">
      <c r="B614" s="94"/>
    </row>
    <row r="615">
      <c r="B615" s="94"/>
    </row>
    <row r="616">
      <c r="B616" s="94"/>
    </row>
    <row r="617">
      <c r="B617" s="94"/>
    </row>
    <row r="618">
      <c r="B618" s="94"/>
    </row>
    <row r="619">
      <c r="B619" s="94"/>
    </row>
    <row r="620">
      <c r="B620" s="94"/>
    </row>
    <row r="621">
      <c r="B621" s="94"/>
    </row>
    <row r="622">
      <c r="B622" s="94"/>
    </row>
    <row r="623">
      <c r="B623" s="94"/>
    </row>
    <row r="624">
      <c r="B624" s="94"/>
    </row>
    <row r="625">
      <c r="B625" s="94"/>
    </row>
    <row r="626">
      <c r="B626" s="94"/>
    </row>
    <row r="627">
      <c r="B627" s="94"/>
    </row>
    <row r="628">
      <c r="B628" s="94"/>
    </row>
    <row r="629">
      <c r="B629" s="94"/>
    </row>
    <row r="630">
      <c r="B630" s="94"/>
    </row>
    <row r="631">
      <c r="B631" s="94"/>
    </row>
    <row r="632">
      <c r="B632" s="94"/>
    </row>
    <row r="633">
      <c r="B633" s="94"/>
    </row>
    <row r="634">
      <c r="B634" s="94"/>
    </row>
    <row r="635">
      <c r="B635" s="94"/>
    </row>
    <row r="636">
      <c r="B636" s="94"/>
    </row>
    <row r="637">
      <c r="B637" s="94"/>
    </row>
    <row r="638">
      <c r="B638" s="94"/>
    </row>
    <row r="639">
      <c r="B639" s="94"/>
    </row>
    <row r="640">
      <c r="B640" s="94"/>
    </row>
    <row r="641">
      <c r="B641" s="94"/>
    </row>
    <row r="642">
      <c r="B642" s="94"/>
    </row>
    <row r="643">
      <c r="B643" s="94"/>
    </row>
    <row r="644">
      <c r="B644" s="94"/>
    </row>
    <row r="645">
      <c r="B645" s="94"/>
    </row>
    <row r="646">
      <c r="B646" s="94"/>
    </row>
    <row r="647">
      <c r="B647" s="94"/>
    </row>
    <row r="648">
      <c r="B648" s="94"/>
    </row>
    <row r="649">
      <c r="B649" s="94"/>
    </row>
    <row r="650">
      <c r="B650" s="94"/>
    </row>
    <row r="651">
      <c r="B651" s="94"/>
    </row>
    <row r="652">
      <c r="B652" s="94"/>
    </row>
    <row r="653">
      <c r="B653" s="94"/>
    </row>
    <row r="654">
      <c r="B654" s="94"/>
    </row>
    <row r="655">
      <c r="B655" s="94"/>
    </row>
    <row r="656">
      <c r="B656" s="94"/>
    </row>
    <row r="657">
      <c r="B657" s="94"/>
    </row>
    <row r="658">
      <c r="B658" s="94"/>
    </row>
    <row r="659">
      <c r="B659" s="94"/>
    </row>
    <row r="660">
      <c r="B660" s="94"/>
    </row>
    <row r="661">
      <c r="B661" s="94"/>
    </row>
    <row r="662">
      <c r="B662" s="94"/>
    </row>
    <row r="663">
      <c r="B663" s="94"/>
    </row>
    <row r="664">
      <c r="B664" s="94"/>
    </row>
    <row r="665">
      <c r="B665" s="94"/>
    </row>
    <row r="666">
      <c r="B666" s="94"/>
    </row>
    <row r="667">
      <c r="B667" s="94"/>
    </row>
    <row r="668">
      <c r="B668" s="94"/>
    </row>
    <row r="669">
      <c r="B669" s="94"/>
    </row>
    <row r="670">
      <c r="B670" s="94"/>
    </row>
    <row r="671">
      <c r="B671" s="94"/>
    </row>
    <row r="672">
      <c r="B672" s="94"/>
    </row>
    <row r="673">
      <c r="B673" s="94"/>
    </row>
    <row r="674">
      <c r="B674" s="94"/>
    </row>
    <row r="675">
      <c r="B675" s="94"/>
    </row>
    <row r="676">
      <c r="B676" s="94"/>
    </row>
    <row r="677">
      <c r="B677" s="94"/>
    </row>
    <row r="678">
      <c r="B678" s="94"/>
    </row>
    <row r="679">
      <c r="B679" s="94"/>
    </row>
    <row r="680">
      <c r="B680" s="94"/>
    </row>
    <row r="681">
      <c r="B681" s="94"/>
    </row>
    <row r="682">
      <c r="B682" s="94"/>
    </row>
    <row r="683">
      <c r="B683" s="94"/>
    </row>
    <row r="684">
      <c r="B684" s="94"/>
    </row>
    <row r="685">
      <c r="B685" s="94"/>
    </row>
    <row r="686">
      <c r="B686" s="94"/>
    </row>
    <row r="687">
      <c r="B687" s="94"/>
    </row>
    <row r="688">
      <c r="B688" s="94"/>
    </row>
    <row r="689">
      <c r="B689" s="94"/>
    </row>
    <row r="690">
      <c r="B690" s="94"/>
    </row>
    <row r="691">
      <c r="B691" s="94"/>
    </row>
    <row r="692">
      <c r="B692" s="94"/>
    </row>
    <row r="693">
      <c r="B693" s="94"/>
    </row>
    <row r="694">
      <c r="B694" s="94"/>
    </row>
    <row r="695">
      <c r="B695" s="94"/>
    </row>
    <row r="696">
      <c r="B696" s="94"/>
    </row>
    <row r="697">
      <c r="B697" s="94"/>
    </row>
    <row r="698">
      <c r="B698" s="94"/>
    </row>
    <row r="699">
      <c r="B699" s="94"/>
    </row>
    <row r="700">
      <c r="B700" s="94"/>
    </row>
    <row r="701">
      <c r="B701" s="94"/>
    </row>
    <row r="702">
      <c r="B702" s="94"/>
    </row>
    <row r="703">
      <c r="B703" s="94"/>
    </row>
    <row r="704">
      <c r="B704" s="94"/>
    </row>
    <row r="705">
      <c r="B705" s="94"/>
    </row>
    <row r="706">
      <c r="B706" s="94"/>
    </row>
    <row r="707">
      <c r="B707" s="94"/>
    </row>
    <row r="708">
      <c r="B708" s="94"/>
    </row>
    <row r="709">
      <c r="B709" s="94"/>
    </row>
    <row r="710">
      <c r="B710" s="94"/>
    </row>
    <row r="711">
      <c r="B711" s="94"/>
    </row>
    <row r="712">
      <c r="B712" s="94"/>
    </row>
    <row r="713">
      <c r="B713" s="94"/>
    </row>
    <row r="714">
      <c r="B714" s="94"/>
    </row>
    <row r="715">
      <c r="B715" s="94"/>
    </row>
    <row r="716">
      <c r="B716" s="94"/>
    </row>
    <row r="717">
      <c r="B717" s="94"/>
    </row>
    <row r="718">
      <c r="B718" s="94"/>
    </row>
    <row r="719">
      <c r="B719" s="94"/>
    </row>
    <row r="720">
      <c r="B720" s="94"/>
    </row>
    <row r="721">
      <c r="B721" s="94"/>
    </row>
    <row r="722">
      <c r="B722" s="94"/>
    </row>
    <row r="723">
      <c r="B723" s="94"/>
    </row>
    <row r="724">
      <c r="B724" s="94"/>
    </row>
    <row r="725">
      <c r="B725" s="94"/>
    </row>
    <row r="726">
      <c r="B726" s="94"/>
    </row>
    <row r="727">
      <c r="B727" s="94"/>
    </row>
    <row r="728">
      <c r="B728" s="94"/>
    </row>
    <row r="729">
      <c r="B729" s="94"/>
    </row>
    <row r="730">
      <c r="B730" s="94"/>
    </row>
    <row r="731">
      <c r="B731" s="94"/>
    </row>
    <row r="732">
      <c r="B732" s="94"/>
    </row>
    <row r="733">
      <c r="B733" s="94"/>
    </row>
    <row r="734">
      <c r="B734" s="94"/>
    </row>
    <row r="735">
      <c r="B735" s="94"/>
    </row>
    <row r="736">
      <c r="B736" s="94"/>
    </row>
    <row r="737">
      <c r="B737" s="94"/>
    </row>
    <row r="738">
      <c r="B738" s="94"/>
    </row>
    <row r="739">
      <c r="B739" s="94"/>
    </row>
    <row r="740">
      <c r="B740" s="94"/>
    </row>
    <row r="741">
      <c r="B741" s="94"/>
    </row>
    <row r="742">
      <c r="B742" s="94"/>
    </row>
    <row r="743">
      <c r="B743" s="94"/>
    </row>
    <row r="744">
      <c r="B744" s="94"/>
    </row>
    <row r="745">
      <c r="B745" s="94"/>
    </row>
    <row r="746">
      <c r="B746" s="94"/>
    </row>
    <row r="747">
      <c r="B747" s="94"/>
    </row>
    <row r="748">
      <c r="B748" s="94"/>
    </row>
    <row r="749">
      <c r="B749" s="94"/>
    </row>
    <row r="750">
      <c r="B750" s="94"/>
    </row>
    <row r="751">
      <c r="B751" s="94"/>
    </row>
    <row r="752">
      <c r="B752" s="94"/>
    </row>
    <row r="753">
      <c r="B753" s="94"/>
    </row>
    <row r="754">
      <c r="B754" s="94"/>
    </row>
    <row r="755">
      <c r="B755" s="94"/>
    </row>
    <row r="756">
      <c r="B756" s="94"/>
    </row>
    <row r="757">
      <c r="B757" s="94"/>
    </row>
    <row r="758">
      <c r="B758" s="94"/>
    </row>
    <row r="759">
      <c r="B759" s="94"/>
    </row>
    <row r="760">
      <c r="B760" s="94"/>
    </row>
    <row r="761">
      <c r="B761" s="94"/>
    </row>
    <row r="762">
      <c r="B762" s="94"/>
    </row>
    <row r="763">
      <c r="B763" s="94"/>
    </row>
    <row r="764">
      <c r="B764" s="94"/>
    </row>
    <row r="765">
      <c r="B765" s="94"/>
    </row>
    <row r="766">
      <c r="B766" s="94"/>
    </row>
    <row r="767">
      <c r="B767" s="94"/>
    </row>
    <row r="768">
      <c r="B768" s="94"/>
    </row>
    <row r="769">
      <c r="B769" s="94"/>
    </row>
    <row r="770">
      <c r="B770" s="94"/>
    </row>
    <row r="771">
      <c r="B771" s="94"/>
    </row>
    <row r="772">
      <c r="B772" s="94"/>
    </row>
    <row r="773">
      <c r="B773" s="94"/>
    </row>
    <row r="774">
      <c r="B774" s="94"/>
    </row>
    <row r="775">
      <c r="B775" s="94"/>
    </row>
    <row r="776">
      <c r="B776" s="94"/>
    </row>
    <row r="777">
      <c r="B777" s="94"/>
    </row>
    <row r="778">
      <c r="B778" s="94"/>
    </row>
    <row r="779">
      <c r="B779" s="94"/>
    </row>
    <row r="780">
      <c r="B780" s="94"/>
    </row>
    <row r="781">
      <c r="B781" s="94"/>
    </row>
    <row r="782">
      <c r="B782" s="94"/>
    </row>
    <row r="783">
      <c r="B783" s="94"/>
    </row>
    <row r="784">
      <c r="B784" s="94"/>
    </row>
    <row r="785">
      <c r="B785" s="94"/>
    </row>
    <row r="786">
      <c r="B786" s="94"/>
    </row>
    <row r="787">
      <c r="B787" s="94"/>
    </row>
    <row r="788">
      <c r="B788" s="94"/>
    </row>
    <row r="789">
      <c r="B789" s="94"/>
    </row>
    <row r="790">
      <c r="B790" s="94"/>
    </row>
    <row r="791">
      <c r="B791" s="94"/>
    </row>
    <row r="792">
      <c r="B792" s="94"/>
    </row>
    <row r="793">
      <c r="B793" s="94"/>
    </row>
    <row r="794">
      <c r="B794" s="94"/>
    </row>
    <row r="795">
      <c r="B795" s="94"/>
    </row>
    <row r="796">
      <c r="B796" s="94"/>
    </row>
    <row r="797">
      <c r="B797" s="94"/>
    </row>
    <row r="798">
      <c r="B798" s="94"/>
    </row>
    <row r="799">
      <c r="B799" s="94"/>
    </row>
    <row r="800">
      <c r="B800" s="94"/>
    </row>
    <row r="801">
      <c r="B801" s="94"/>
    </row>
    <row r="802">
      <c r="B802" s="94"/>
    </row>
    <row r="803">
      <c r="B803" s="94"/>
    </row>
    <row r="804">
      <c r="B804" s="94"/>
    </row>
    <row r="805">
      <c r="B805" s="94"/>
    </row>
    <row r="806">
      <c r="B806" s="94"/>
    </row>
    <row r="807">
      <c r="B807" s="94"/>
    </row>
    <row r="808">
      <c r="B808" s="94"/>
    </row>
    <row r="809">
      <c r="B809" s="94"/>
    </row>
    <row r="810">
      <c r="B810" s="94"/>
    </row>
    <row r="811">
      <c r="B811" s="94"/>
    </row>
    <row r="812">
      <c r="B812" s="94"/>
    </row>
    <row r="813">
      <c r="B813" s="94"/>
    </row>
    <row r="814">
      <c r="B814" s="94"/>
    </row>
    <row r="815">
      <c r="B815" s="94"/>
    </row>
    <row r="816">
      <c r="B816" s="94"/>
    </row>
    <row r="817">
      <c r="B817" s="94"/>
    </row>
    <row r="818">
      <c r="B818" s="94"/>
    </row>
    <row r="819">
      <c r="B819" s="94"/>
    </row>
    <row r="820">
      <c r="B820" s="94"/>
    </row>
    <row r="821">
      <c r="B821" s="94"/>
    </row>
    <row r="822">
      <c r="B822" s="94"/>
    </row>
    <row r="823">
      <c r="B823" s="94"/>
    </row>
    <row r="824">
      <c r="B824" s="94"/>
    </row>
    <row r="825">
      <c r="B825" s="94"/>
    </row>
    <row r="826">
      <c r="B826" s="94"/>
    </row>
    <row r="827">
      <c r="B827" s="94"/>
    </row>
    <row r="828">
      <c r="B828" s="94"/>
    </row>
    <row r="829">
      <c r="B829" s="94"/>
    </row>
    <row r="830">
      <c r="B830" s="94"/>
    </row>
    <row r="831">
      <c r="B831" s="94"/>
    </row>
    <row r="832">
      <c r="B832" s="94"/>
    </row>
    <row r="833">
      <c r="B833" s="94"/>
    </row>
    <row r="834">
      <c r="B834" s="94"/>
    </row>
    <row r="835">
      <c r="B835" s="94"/>
    </row>
    <row r="836">
      <c r="B836" s="94"/>
    </row>
    <row r="837">
      <c r="B837" s="94"/>
    </row>
    <row r="838">
      <c r="B838" s="94"/>
    </row>
    <row r="839">
      <c r="B839" s="94"/>
    </row>
    <row r="840">
      <c r="B840" s="94"/>
    </row>
    <row r="841">
      <c r="B841" s="94"/>
    </row>
    <row r="842">
      <c r="B842" s="94"/>
    </row>
    <row r="843">
      <c r="B843" s="94"/>
    </row>
    <row r="844">
      <c r="B844" s="94"/>
    </row>
    <row r="845">
      <c r="B845" s="94"/>
    </row>
    <row r="846">
      <c r="B846" s="94"/>
    </row>
    <row r="847">
      <c r="B847" s="94"/>
    </row>
    <row r="848">
      <c r="B848" s="94"/>
    </row>
    <row r="849">
      <c r="B849" s="94"/>
    </row>
    <row r="850">
      <c r="B850" s="94"/>
    </row>
    <row r="851">
      <c r="B851" s="94"/>
    </row>
    <row r="852">
      <c r="B852" s="94"/>
    </row>
    <row r="853">
      <c r="B853" s="94"/>
    </row>
    <row r="854">
      <c r="B854" s="94"/>
    </row>
    <row r="855">
      <c r="B855" s="94"/>
    </row>
    <row r="856">
      <c r="B856" s="94"/>
    </row>
    <row r="857">
      <c r="B857" s="94"/>
    </row>
    <row r="858">
      <c r="B858" s="94"/>
    </row>
    <row r="859">
      <c r="B859" s="94"/>
    </row>
    <row r="860">
      <c r="B860" s="94"/>
    </row>
    <row r="861">
      <c r="B861" s="94"/>
    </row>
    <row r="862">
      <c r="B862" s="94"/>
    </row>
    <row r="863">
      <c r="B863" s="94"/>
    </row>
    <row r="864">
      <c r="B864" s="94"/>
    </row>
    <row r="865">
      <c r="B865" s="94"/>
    </row>
    <row r="866">
      <c r="B866" s="94"/>
    </row>
    <row r="867">
      <c r="B867" s="94"/>
    </row>
    <row r="868">
      <c r="B868" s="94"/>
    </row>
    <row r="869">
      <c r="B869" s="94"/>
    </row>
    <row r="870">
      <c r="B870" s="94"/>
    </row>
    <row r="871">
      <c r="B871" s="94"/>
    </row>
    <row r="872">
      <c r="B872" s="94"/>
    </row>
    <row r="873">
      <c r="B873" s="94"/>
    </row>
    <row r="874">
      <c r="B874" s="94"/>
    </row>
    <row r="875">
      <c r="B875" s="94"/>
    </row>
    <row r="876">
      <c r="B876" s="94"/>
    </row>
    <row r="877">
      <c r="B877" s="94"/>
    </row>
    <row r="878">
      <c r="B878" s="94"/>
    </row>
    <row r="879">
      <c r="B879" s="94"/>
    </row>
    <row r="880">
      <c r="B880" s="94"/>
    </row>
    <row r="881">
      <c r="B881" s="94"/>
    </row>
    <row r="882">
      <c r="B882" s="94"/>
    </row>
    <row r="883">
      <c r="B883" s="94"/>
    </row>
    <row r="884">
      <c r="B884" s="94"/>
    </row>
    <row r="885">
      <c r="B885" s="94"/>
    </row>
    <row r="886">
      <c r="B886" s="94"/>
    </row>
    <row r="887">
      <c r="B887" s="94"/>
    </row>
    <row r="888">
      <c r="B888" s="94"/>
    </row>
    <row r="889">
      <c r="B889" s="94"/>
    </row>
    <row r="890">
      <c r="B890" s="94"/>
    </row>
    <row r="891">
      <c r="B891" s="94"/>
    </row>
    <row r="892">
      <c r="B892" s="94"/>
    </row>
    <row r="893">
      <c r="B893" s="94"/>
    </row>
    <row r="894">
      <c r="B894" s="94"/>
    </row>
    <row r="895">
      <c r="B895" s="94"/>
    </row>
    <row r="896">
      <c r="B896" s="94"/>
    </row>
    <row r="897">
      <c r="B897" s="94"/>
    </row>
    <row r="898">
      <c r="B898" s="94"/>
    </row>
    <row r="899">
      <c r="B899" s="94"/>
    </row>
    <row r="900">
      <c r="B900" s="94"/>
    </row>
    <row r="901">
      <c r="B901" s="94"/>
    </row>
    <row r="902">
      <c r="B902" s="94"/>
    </row>
    <row r="903">
      <c r="B903" s="94"/>
    </row>
    <row r="904">
      <c r="B904" s="94"/>
    </row>
    <row r="905">
      <c r="B905" s="94"/>
    </row>
    <row r="906">
      <c r="B906" s="94"/>
    </row>
    <row r="907">
      <c r="B907" s="94"/>
    </row>
    <row r="908">
      <c r="B908" s="94"/>
    </row>
    <row r="909">
      <c r="B909" s="94"/>
    </row>
    <row r="910">
      <c r="B910" s="94"/>
    </row>
    <row r="911">
      <c r="B911" s="94"/>
    </row>
    <row r="912">
      <c r="B912" s="94"/>
    </row>
    <row r="913">
      <c r="B913" s="94"/>
    </row>
    <row r="914">
      <c r="B914" s="94"/>
    </row>
    <row r="915">
      <c r="B915" s="94"/>
    </row>
    <row r="916">
      <c r="B916" s="94"/>
    </row>
    <row r="917">
      <c r="B917" s="94"/>
    </row>
    <row r="918">
      <c r="B918" s="94"/>
    </row>
    <row r="919">
      <c r="B919" s="94"/>
    </row>
    <row r="920">
      <c r="B920" s="94"/>
    </row>
    <row r="921">
      <c r="B921" s="94"/>
    </row>
    <row r="922">
      <c r="B922" s="94"/>
    </row>
    <row r="923">
      <c r="B923" s="94"/>
    </row>
    <row r="924">
      <c r="B924" s="94"/>
    </row>
    <row r="925">
      <c r="B925" s="94"/>
    </row>
    <row r="926">
      <c r="B926" s="94"/>
    </row>
    <row r="927">
      <c r="B927" s="94"/>
    </row>
    <row r="928">
      <c r="B928" s="94"/>
    </row>
    <row r="929">
      <c r="B929" s="94"/>
    </row>
    <row r="930">
      <c r="B930" s="94"/>
    </row>
    <row r="931">
      <c r="B931" s="94"/>
    </row>
    <row r="932">
      <c r="B932" s="94"/>
    </row>
    <row r="933">
      <c r="B933" s="94"/>
    </row>
    <row r="934">
      <c r="B934" s="94"/>
    </row>
    <row r="935">
      <c r="B935" s="94"/>
    </row>
    <row r="936">
      <c r="B936" s="94"/>
    </row>
    <row r="937">
      <c r="B937" s="94"/>
    </row>
    <row r="938">
      <c r="B938" s="94"/>
    </row>
    <row r="939">
      <c r="B939" s="94"/>
    </row>
    <row r="940">
      <c r="B940" s="94"/>
    </row>
    <row r="941">
      <c r="B941" s="94"/>
    </row>
    <row r="942">
      <c r="B942" s="94"/>
    </row>
    <row r="943">
      <c r="B943" s="94"/>
    </row>
    <row r="944">
      <c r="B944" s="94"/>
    </row>
    <row r="945">
      <c r="B945" s="94"/>
    </row>
    <row r="946">
      <c r="B946" s="94"/>
    </row>
    <row r="947">
      <c r="B947" s="94"/>
    </row>
    <row r="948">
      <c r="B948" s="94"/>
    </row>
    <row r="949">
      <c r="B949" s="94"/>
    </row>
    <row r="950">
      <c r="B950" s="94"/>
    </row>
    <row r="951">
      <c r="B951" s="94"/>
    </row>
    <row r="952">
      <c r="B952" s="94"/>
    </row>
    <row r="953">
      <c r="B953" s="94"/>
    </row>
    <row r="954">
      <c r="B954" s="94"/>
    </row>
    <row r="955">
      <c r="B955" s="94"/>
    </row>
    <row r="956">
      <c r="B956" s="94"/>
    </row>
    <row r="957">
      <c r="B957" s="94"/>
    </row>
    <row r="958">
      <c r="B958" s="94"/>
    </row>
    <row r="959">
      <c r="B959" s="94"/>
    </row>
    <row r="960">
      <c r="B960" s="94"/>
    </row>
    <row r="961">
      <c r="B961" s="94"/>
    </row>
    <row r="962">
      <c r="B962" s="94"/>
    </row>
    <row r="963">
      <c r="B963" s="94"/>
    </row>
    <row r="964">
      <c r="B964" s="94"/>
    </row>
    <row r="965">
      <c r="B965" s="94"/>
    </row>
    <row r="966">
      <c r="B966" s="94"/>
    </row>
    <row r="967">
      <c r="B967" s="94"/>
    </row>
    <row r="968">
      <c r="B968" s="94"/>
    </row>
    <row r="969">
      <c r="B969" s="94"/>
    </row>
    <row r="970">
      <c r="B970" s="94"/>
    </row>
    <row r="971">
      <c r="B971" s="94"/>
    </row>
    <row r="972">
      <c r="B972" s="94"/>
    </row>
    <row r="973">
      <c r="B973" s="94"/>
    </row>
    <row r="974">
      <c r="B974" s="94"/>
    </row>
    <row r="975">
      <c r="B975" s="94"/>
    </row>
    <row r="976">
      <c r="B976" s="94"/>
    </row>
    <row r="977">
      <c r="B977" s="94"/>
    </row>
    <row r="978">
      <c r="B978" s="94"/>
    </row>
    <row r="979">
      <c r="B979" s="94"/>
    </row>
    <row r="980">
      <c r="B980" s="94"/>
    </row>
    <row r="981">
      <c r="B981" s="94"/>
    </row>
    <row r="982">
      <c r="B982" s="94"/>
    </row>
    <row r="983">
      <c r="B983" s="94"/>
    </row>
    <row r="984">
      <c r="B984" s="94"/>
    </row>
    <row r="985">
      <c r="B985" s="94"/>
    </row>
    <row r="986">
      <c r="B986" s="94"/>
    </row>
    <row r="987">
      <c r="B987" s="94"/>
    </row>
    <row r="988">
      <c r="B988" s="94"/>
    </row>
    <row r="989">
      <c r="B989" s="94"/>
    </row>
    <row r="990">
      <c r="B990" s="94"/>
    </row>
    <row r="991">
      <c r="B991" s="94"/>
    </row>
    <row r="992">
      <c r="B992" s="94"/>
    </row>
    <row r="993">
      <c r="B993" s="94"/>
    </row>
    <row r="994">
      <c r="B994" s="94"/>
    </row>
    <row r="995">
      <c r="B995" s="94"/>
    </row>
    <row r="996">
      <c r="B996" s="94"/>
    </row>
    <row r="997">
      <c r="B997" s="94"/>
    </row>
    <row r="998">
      <c r="B998" s="94"/>
    </row>
    <row r="999">
      <c r="B999" s="94"/>
    </row>
    <row r="1000">
      <c r="B1000" s="94"/>
    </row>
  </sheetData>
  <mergeCells count="1">
    <mergeCell ref="A1:H1"/>
  </mergeCells>
  <drawing r:id="rId1"/>
</worksheet>
</file>